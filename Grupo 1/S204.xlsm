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D3494605-E0AE-4D7E-9B07-4B20C2D4AA78}" xr6:coauthVersionLast="47" xr6:coauthVersionMax="47" xr10:uidLastSave="{00000000-0000-0000-0000-000000000000}"/>
  <bookViews>
    <workbookView xWindow="-120" yWindow="-120" windowWidth="29040" windowHeight="15720" activeTab="2" xr2:uid="{92D1CF0F-D00F-4C31-B78B-5E0B51B47EA4}"/>
  </bookViews>
  <sheets>
    <sheet name="Tipos de Tableros" sheetId="1" r:id="rId1"/>
    <sheet name="Tablero Estático 1" sheetId="2" r:id="rId2"/>
    <sheet name="Tablero Dinámico 1" sheetId="3" r:id="rId3"/>
  </sheets>
  <definedNames>
    <definedName name="_xleta.ROUNDDOWN" hidden="1" xlm="1">#NAME?</definedName>
    <definedName name="_xleta.ROUNDUP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2" i="3" l="1"/>
  <c r="C12" i="3"/>
  <c r="C13" i="3"/>
  <c r="D13" i="3" s="1"/>
  <c r="C14" i="3" s="1"/>
  <c r="D14" i="3" s="1"/>
  <c r="C15" i="3" s="1"/>
  <c r="D15" i="3" s="1"/>
  <c r="C16" i="3" s="1"/>
  <c r="D16" i="3" s="1"/>
  <c r="C17" i="3" s="1"/>
  <c r="D17" i="3" s="1"/>
  <c r="C18" i="3" s="1"/>
  <c r="D18" i="3" s="1"/>
  <c r="C19" i="3" s="1"/>
  <c r="D19" i="3" s="1"/>
  <c r="C20" i="3" s="1"/>
  <c r="D20" i="3" s="1"/>
  <c r="C21" i="3" s="1"/>
  <c r="D21" i="3" s="1"/>
  <c r="C22" i="3" s="1"/>
  <c r="D22" i="3" s="1"/>
  <c r="C23" i="3" s="1"/>
  <c r="D23" i="3" s="1"/>
  <c r="C24" i="3" s="1"/>
  <c r="D24" i="3" s="1"/>
  <c r="C25" i="3" s="1"/>
  <c r="D25" i="3" s="1"/>
  <c r="C26" i="3" s="1"/>
  <c r="D26" i="3" s="1"/>
  <c r="C27" i="3" s="1"/>
  <c r="D27" i="3" s="1"/>
  <c r="C28" i="3" s="1"/>
  <c r="D28" i="3" s="1"/>
  <c r="C29" i="3" s="1"/>
  <c r="D29" i="3" s="1"/>
  <c r="C30" i="3" s="1"/>
  <c r="D30" i="3" s="1"/>
  <c r="C31" i="3" s="1"/>
  <c r="D31" i="3" s="1"/>
  <c r="C32" i="3" s="1"/>
  <c r="D32" i="3" s="1"/>
  <c r="D11" i="3"/>
  <c r="C11" i="3"/>
  <c r="B12" i="3"/>
  <c r="B13" i="3"/>
  <c r="B14" i="3"/>
  <c r="B15" i="3"/>
  <c r="B16" i="3"/>
  <c r="B17" i="3"/>
  <c r="B18" i="3"/>
  <c r="B19" i="3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11" i="3"/>
  <c r="K6" i="3"/>
  <c r="K5" i="3"/>
  <c r="M6" i="3"/>
  <c r="M5" i="3"/>
  <c r="H19" i="2"/>
  <c r="F5" i="2"/>
  <c r="G8" i="2" a="1"/>
  <c r="G8" i="2" s="1"/>
  <c r="G9" i="2" a="1"/>
  <c r="G9" i="2" s="1"/>
  <c r="G10" i="2" a="1"/>
  <c r="G10" i="2" s="1"/>
  <c r="G11" i="2" a="1"/>
  <c r="G11" i="2" s="1"/>
  <c r="F8" i="2" a="1"/>
  <c r="F8" i="2" s="1"/>
  <c r="F9" i="2" a="1"/>
  <c r="F9" i="2" s="1"/>
  <c r="F10" i="2" a="1"/>
  <c r="F10" i="2" s="1"/>
  <c r="F11" i="2" a="1"/>
  <c r="F11" i="2" s="1"/>
  <c r="G5" i="2"/>
  <c r="J12" i="1"/>
  <c r="L10" i="3" l="1"/>
  <c r="M10" i="3"/>
  <c r="K12" i="3"/>
  <c r="L13" i="3" s="1"/>
  <c r="L12" i="3"/>
  <c r="L11" i="3"/>
  <c r="K11" i="3"/>
  <c r="M11" i="3" s="1"/>
  <c r="K10" i="3"/>
  <c r="H11" i="2"/>
  <c r="H9" i="2"/>
  <c r="H10" i="2"/>
  <c r="H8" i="2"/>
  <c r="K13" i="3" l="1"/>
  <c r="L14" i="3"/>
  <c r="M1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<sst xmlns="http://schemas.openxmlformats.org/spreadsheetml/2006/main" count="95" uniqueCount="56">
  <si>
    <t>Tableros Estáticos</t>
  </si>
  <si>
    <t>Tableros Dinámicos</t>
  </si>
  <si>
    <t>Los elementos y celdas están fijas</t>
  </si>
  <si>
    <t>Tablero de Avance de los financiamientos</t>
  </si>
  <si>
    <t>Total</t>
  </si>
  <si>
    <t>Activos</t>
  </si>
  <si>
    <t>Completados</t>
  </si>
  <si>
    <t>% Avance</t>
  </si>
  <si>
    <t>Monto</t>
  </si>
  <si>
    <t>Monto Avanzado</t>
  </si>
  <si>
    <t>Actual</t>
  </si>
  <si>
    <t>Esperado</t>
  </si>
  <si>
    <t>Periodo</t>
  </si>
  <si>
    <t>Enero</t>
  </si>
  <si>
    <t>Diciembre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</si>
  <si>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</si>
  <si>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</si>
  <si>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</si>
  <si>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</si>
  <si>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</si>
  <si>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</si>
  <si>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</si>
  <si>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</si>
  <si>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</si>
  <si>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</si>
  <si>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% Retraso</t>
  </si>
  <si>
    <t>Retraso</t>
  </si>
  <si>
    <t>%</t>
  </si>
  <si>
    <t>Saldo</t>
  </si>
  <si>
    <t>Estado</t>
  </si>
  <si>
    <t>Vencido</t>
  </si>
  <si>
    <t>Vigente</t>
  </si>
  <si>
    <t>Riesgo</t>
  </si>
  <si>
    <t>Cubierto</t>
  </si>
  <si>
    <t>Tablero Estático</t>
  </si>
  <si>
    <t>Promedio</t>
  </si>
  <si>
    <t>#</t>
  </si>
  <si>
    <t>=</t>
  </si>
  <si>
    <t>CONTAR(B5:B30)</t>
  </si>
  <si>
    <t>"=CONTAR(B5:B" &amp; celdaBFinal.Row &amp; ")"</t>
  </si>
  <si>
    <t>Tablero Dinámico</t>
  </si>
  <si>
    <t>Calendario del periodo observado</t>
  </si>
  <si>
    <t>Año</t>
  </si>
  <si>
    <t>Mes</t>
  </si>
  <si>
    <t>Día</t>
  </si>
  <si>
    <t>Inicio</t>
  </si>
  <si>
    <t>Fin</t>
  </si>
  <si>
    <t>Días</t>
  </si>
  <si>
    <t>Meses</t>
  </si>
  <si>
    <t>Años</t>
  </si>
  <si>
    <t>Fecha Final</t>
  </si>
  <si>
    <t>Fecha Incial</t>
  </si>
  <si>
    <t>Fecha Inicio</t>
  </si>
  <si>
    <t>Fecha Fin</t>
  </si>
  <si>
    <t>PAGADO</t>
  </si>
  <si>
    <t>SUMA(FILTRAR(Pagos!D8:D8795; (Pagos!C8:C8795 &gt;= C11) * (Pagos!C8:C8795 &lt;= D11))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</si>
</sst>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80A]* #,##0.00_-;\-[$$-80A]* #,##0.00_-;_-[$$-80A]* &quot;-&quot;??_-;_-@_-"/>
    <numFmt numFmtId="165" formatCode="0.0%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3" borderId="3" xfId="3" applyFont="1" applyBorder="1" applyAlignment="1">
      <alignment horizontal="center"/>
    </xf>
    <xf numFmtId="0" fontId="0" fillId="3" borderId="4" xfId="3" applyFont="1" applyBorder="1" applyAlignment="1">
      <alignment horizontal="center"/>
    </xf>
    <xf numFmtId="0" fontId="0" fillId="4" borderId="2" xfId="0" applyFill="1" applyBorder="1" applyAlignment="1">
      <alignment horizontal="center"/>
    </xf>
    <xf numFmtId="9" fontId="0" fillId="4" borderId="2" xfId="0" applyNumberFormat="1" applyFill="1" applyBorder="1" applyAlignment="1">
      <alignment horizontal="center"/>
    </xf>
    <xf numFmtId="0" fontId="2" fillId="2" borderId="0" xfId="2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164" fontId="0" fillId="4" borderId="2" xfId="0" applyNumberFormat="1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5" fontId="0" fillId="0" borderId="0" xfId="0" applyNumberFormat="1"/>
    <xf numFmtId="165" fontId="0" fillId="7" borderId="2" xfId="0" applyNumberFormat="1" applyFill="1" applyBorder="1" applyAlignment="1">
      <alignment horizontal="center"/>
    </xf>
    <xf numFmtId="165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1" fillId="3" borderId="1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9" fontId="4" fillId="7" borderId="2" xfId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0" xfId="0" applyFill="1" applyBorder="1" applyAlignment="1">
      <alignment horizontal="center"/>
    </xf>
    <xf numFmtId="14" fontId="0" fillId="9" borderId="0" xfId="0" applyNumberFormat="1" applyFill="1"/>
    <xf numFmtId="2" fontId="0" fillId="9" borderId="0" xfId="0" applyNumberFormat="1" applyFill="1"/>
    <xf numFmtId="1" fontId="0" fillId="9" borderId="0" xfId="0" applyNumberFormat="1" applyFill="1"/>
    <xf numFmtId="14" fontId="0" fillId="0" borderId="0" xfId="0" applyNumberFormat="1"/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</cellXfs>
  <cellStyles count="4">
    <cellStyle name="Neutral" xfId="2" builtinId="28"/>
    <cellStyle name="Normal" xfId="0" builtinId="0"/>
    <cellStyle name="Notas" xfId="3" builtinId="1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12</xdr:row>
          <xdr:rowOff>85725</xdr:rowOff>
        </xdr:from>
        <xdr:to>
          <xdr:col>7</xdr:col>
          <xdr:colOff>733425</xdr:colOff>
          <xdr:row>14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14</xdr:row>
          <xdr:rowOff>104775</xdr:rowOff>
        </xdr:from>
        <xdr:to>
          <xdr:col>7</xdr:col>
          <xdr:colOff>381000</xdr:colOff>
          <xdr:row>16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E80C7-A0F9-495A-ADE3-70DEAF8E4873}">
  <sheetPr codeName="Hoja1"/>
  <dimension ref="B4:J31"/>
  <sheetViews>
    <sheetView zoomScale="220" zoomScaleNormal="220" workbookViewId="0">
      <selection activeCell="B4" sqref="B4:C4"/>
    </sheetView>
  </sheetViews>
  <sheetFormatPr baseColWidth="10" defaultRowHeight="15" x14ac:dyDescent="0.25"/>
  <cols>
    <col min="6" max="6" width="12.5703125" customWidth="1"/>
    <col min="9" max="9" width="12.5703125" bestFit="1" customWidth="1"/>
    <col min="10" max="10" width="14.42578125" customWidth="1"/>
  </cols>
  <sheetData>
    <row r="4" spans="2:10" x14ac:dyDescent="0.25">
      <c r="B4" s="19" t="s">
        <v>0</v>
      </c>
      <c r="C4" s="19"/>
      <c r="E4" t="s">
        <v>2</v>
      </c>
    </row>
    <row r="6" spans="2:10" x14ac:dyDescent="0.25">
      <c r="E6" s="10" t="s">
        <v>3</v>
      </c>
      <c r="F6" s="10"/>
      <c r="G6" s="10"/>
      <c r="H6" s="10"/>
      <c r="I6" s="10"/>
      <c r="J6" s="10"/>
    </row>
    <row r="8" spans="2:10" x14ac:dyDescent="0.25">
      <c r="E8" s="3" t="s">
        <v>4</v>
      </c>
      <c r="F8" s="3"/>
      <c r="I8" s="3" t="s">
        <v>5</v>
      </c>
      <c r="J8" s="3"/>
    </row>
    <row r="9" spans="2:10" x14ac:dyDescent="0.25">
      <c r="E9" s="4" t="s">
        <v>5</v>
      </c>
      <c r="F9" s="4" t="s">
        <v>6</v>
      </c>
      <c r="I9" s="4" t="s">
        <v>7</v>
      </c>
      <c r="J9" s="4" t="s">
        <v>9</v>
      </c>
    </row>
    <row r="10" spans="2:10" x14ac:dyDescent="0.25">
      <c r="E10" s="8">
        <v>200</v>
      </c>
      <c r="F10" s="8">
        <v>300</v>
      </c>
      <c r="H10" s="5" t="s">
        <v>10</v>
      </c>
      <c r="I10" s="9">
        <v>0.63</v>
      </c>
      <c r="J10" s="13">
        <v>634323</v>
      </c>
    </row>
    <row r="11" spans="2:10" x14ac:dyDescent="0.25">
      <c r="H11" s="5" t="s">
        <v>11</v>
      </c>
      <c r="I11" s="9">
        <v>0.72</v>
      </c>
      <c r="J11" s="13">
        <v>894211</v>
      </c>
    </row>
    <row r="12" spans="2:10" x14ac:dyDescent="0.25">
      <c r="H12" s="5" t="s">
        <v>25</v>
      </c>
      <c r="I12" s="16">
        <v>5.8999999999999997E-2</v>
      </c>
      <c r="J12" s="14">
        <f>J11-J10</f>
        <v>259888</v>
      </c>
    </row>
    <row r="14" spans="2:10" x14ac:dyDescent="0.25">
      <c r="B14" s="6" t="s">
        <v>1</v>
      </c>
      <c r="C14" s="7"/>
      <c r="E14" t="s">
        <v>12</v>
      </c>
      <c r="F14" s="11" t="s">
        <v>13</v>
      </c>
      <c r="G14" s="11">
        <v>2025</v>
      </c>
      <c r="H14" s="11" t="s">
        <v>14</v>
      </c>
      <c r="I14" s="11">
        <v>2025</v>
      </c>
    </row>
    <row r="16" spans="2:10" x14ac:dyDescent="0.25">
      <c r="H16" s="3" t="s">
        <v>26</v>
      </c>
      <c r="I16" s="3"/>
    </row>
    <row r="17" spans="5:9" x14ac:dyDescent="0.25">
      <c r="H17" s="4" t="s">
        <v>27</v>
      </c>
      <c r="I17" s="4" t="s">
        <v>8</v>
      </c>
    </row>
    <row r="18" spans="5:9" x14ac:dyDescent="0.25">
      <c r="E18" s="12">
        <v>2025</v>
      </c>
      <c r="F18" s="12" t="s">
        <v>13</v>
      </c>
      <c r="G18" s="12"/>
      <c r="H18" s="17">
        <v>0.02</v>
      </c>
      <c r="I18" s="18">
        <v>12345</v>
      </c>
    </row>
    <row r="19" spans="5:9" x14ac:dyDescent="0.25">
      <c r="E19" s="12">
        <v>2025</v>
      </c>
      <c r="F19" s="12" t="s">
        <v>15</v>
      </c>
      <c r="G19" s="12"/>
      <c r="H19" s="17">
        <v>0.03</v>
      </c>
      <c r="I19" s="18">
        <v>23455</v>
      </c>
    </row>
    <row r="20" spans="5:9" x14ac:dyDescent="0.25">
      <c r="E20" s="12">
        <v>2025</v>
      </c>
      <c r="F20" s="12" t="s">
        <v>16</v>
      </c>
      <c r="G20" s="12"/>
      <c r="H20" s="17">
        <v>2.5000000000000001E-2</v>
      </c>
      <c r="I20" s="18">
        <v>34554</v>
      </c>
    </row>
    <row r="21" spans="5:9" x14ac:dyDescent="0.25">
      <c r="E21" s="12">
        <v>2025</v>
      </c>
      <c r="F21" s="12" t="s">
        <v>17</v>
      </c>
      <c r="G21" s="12"/>
      <c r="H21" s="17">
        <v>3.7999999999999999E-2</v>
      </c>
      <c r="I21" s="18">
        <v>32424</v>
      </c>
    </row>
    <row r="22" spans="5:9" x14ac:dyDescent="0.25">
      <c r="E22" s="12">
        <v>2025</v>
      </c>
      <c r="F22" s="12" t="s">
        <v>18</v>
      </c>
      <c r="G22" s="12"/>
      <c r="H22" s="17">
        <v>0.06</v>
      </c>
      <c r="I22" s="18">
        <v>23423</v>
      </c>
    </row>
    <row r="23" spans="5:9" x14ac:dyDescent="0.25">
      <c r="E23" s="12">
        <v>2025</v>
      </c>
      <c r="F23" s="12" t="s">
        <v>19</v>
      </c>
      <c r="G23" s="12"/>
      <c r="H23" s="17">
        <v>7.0000000000000007E-2</v>
      </c>
      <c r="I23" s="18">
        <v>45545</v>
      </c>
    </row>
    <row r="24" spans="5:9" x14ac:dyDescent="0.25">
      <c r="E24" s="12">
        <v>2025</v>
      </c>
      <c r="F24" s="12" t="s">
        <v>20</v>
      </c>
      <c r="G24" s="12"/>
      <c r="H24" s="17">
        <v>8.1000000000000003E-2</v>
      </c>
      <c r="I24" s="18">
        <v>23232</v>
      </c>
    </row>
    <row r="25" spans="5:9" x14ac:dyDescent="0.25">
      <c r="E25" s="12">
        <v>2025</v>
      </c>
      <c r="F25" s="12" t="s">
        <v>21</v>
      </c>
      <c r="G25" s="12"/>
      <c r="H25" s="17">
        <v>0.06</v>
      </c>
      <c r="I25" s="18">
        <v>44332</v>
      </c>
    </row>
    <row r="26" spans="5:9" x14ac:dyDescent="0.25">
      <c r="E26" s="12">
        <v>2025</v>
      </c>
      <c r="F26" s="12" t="s">
        <v>22</v>
      </c>
      <c r="G26" s="12"/>
      <c r="H26" s="17">
        <v>0.1</v>
      </c>
      <c r="I26" s="18">
        <v>123144</v>
      </c>
    </row>
    <row r="27" spans="5:9" x14ac:dyDescent="0.25">
      <c r="E27" s="12">
        <v>2025</v>
      </c>
      <c r="F27" s="12" t="s">
        <v>23</v>
      </c>
      <c r="G27" s="12"/>
      <c r="H27" s="17">
        <v>0.08</v>
      </c>
      <c r="I27" s="18">
        <v>34343</v>
      </c>
    </row>
    <row r="28" spans="5:9" x14ac:dyDescent="0.25">
      <c r="E28" s="12">
        <v>2025</v>
      </c>
      <c r="F28" s="12" t="s">
        <v>24</v>
      </c>
      <c r="G28" s="12"/>
      <c r="H28" s="17">
        <v>7.0000000000000007E-2</v>
      </c>
      <c r="I28" s="18">
        <v>45645</v>
      </c>
    </row>
    <row r="29" spans="5:9" x14ac:dyDescent="0.25">
      <c r="E29" s="12">
        <v>2025</v>
      </c>
      <c r="F29" s="12" t="s">
        <v>14</v>
      </c>
      <c r="G29" s="12"/>
      <c r="H29" s="17">
        <v>6.8000000000000005E-2</v>
      </c>
      <c r="I29" s="18">
        <v>56564</v>
      </c>
    </row>
    <row r="31" spans="5:9" x14ac:dyDescent="0.25">
      <c r="H31" s="15"/>
    </row>
  </sheetData>
  <mergeCells count="6">
    <mergeCell ref="H16:I16"/>
    <mergeCell ref="E8:F8"/>
    <mergeCell ref="I8:J8"/>
    <mergeCell ref="B4:C4"/>
    <mergeCell ref="B14:C14"/>
    <mergeCell ref="E6:J6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8802-6867-4021-9C9B-13744660C4F8}">
  <sheetPr codeName="Hoja2"/>
  <dimension ref="B2:H30"/>
  <sheetViews>
    <sheetView topLeftCell="A7" zoomScale="190" zoomScaleNormal="190" workbookViewId="0">
      <selection activeCell="E23" sqref="E23"/>
    </sheetView>
  </sheetViews>
  <sheetFormatPr baseColWidth="10" defaultRowHeight="15" x14ac:dyDescent="0.25"/>
  <cols>
    <col min="2" max="2" width="11.42578125" style="20"/>
    <col min="3" max="3" width="11.42578125" style="1"/>
    <col min="5" max="5" width="11.42578125" style="1"/>
    <col min="6" max="7" width="20" style="1" bestFit="1" customWidth="1"/>
    <col min="8" max="8" width="11.42578125" style="1"/>
  </cols>
  <sheetData>
    <row r="2" spans="2:8" x14ac:dyDescent="0.25">
      <c r="E2" s="3" t="s">
        <v>34</v>
      </c>
      <c r="F2" s="3"/>
      <c r="G2" s="3"/>
      <c r="H2" s="3"/>
    </row>
    <row r="4" spans="2:8" x14ac:dyDescent="0.25">
      <c r="B4" s="20" t="s">
        <v>28</v>
      </c>
      <c r="C4" s="1" t="s">
        <v>29</v>
      </c>
      <c r="F4" s="4" t="s">
        <v>36</v>
      </c>
      <c r="G4" s="4" t="s">
        <v>4</v>
      </c>
    </row>
    <row r="5" spans="2:8" x14ac:dyDescent="0.25">
      <c r="B5" s="20">
        <v>800</v>
      </c>
      <c r="C5" s="1" t="s">
        <v>30</v>
      </c>
      <c r="E5" s="22" t="s">
        <v>28</v>
      </c>
      <c r="F5" s="23">
        <f>COUNT(B5:$B$30)</f>
        <v>26</v>
      </c>
      <c r="G5" s="24">
        <f>SUM(B5:$B$30)</f>
        <v>20023</v>
      </c>
    </row>
    <row r="6" spans="2:8" x14ac:dyDescent="0.25">
      <c r="B6" s="20">
        <v>900</v>
      </c>
      <c r="C6" s="1" t="s">
        <v>31</v>
      </c>
    </row>
    <row r="7" spans="2:8" x14ac:dyDescent="0.25">
      <c r="B7" s="20">
        <v>700</v>
      </c>
      <c r="C7" s="1" t="s">
        <v>32</v>
      </c>
      <c r="E7" s="4" t="s">
        <v>29</v>
      </c>
      <c r="F7" s="4" t="s">
        <v>4</v>
      </c>
      <c r="G7" s="4" t="s">
        <v>35</v>
      </c>
      <c r="H7" s="21" t="s">
        <v>27</v>
      </c>
    </row>
    <row r="8" spans="2:8" x14ac:dyDescent="0.25">
      <c r="B8" s="20">
        <v>600</v>
      </c>
      <c r="C8" s="1" t="s">
        <v>33</v>
      </c>
      <c r="E8" s="4" t="s">
        <v>30</v>
      </c>
      <c r="F8" s="24" cm="1">
        <f t="array" ref="F8">SUM(_xlfn._xlws.FILTER($B$5:$B$30,$C$5:$C$30=E8))</f>
        <v>4600</v>
      </c>
      <c r="G8" s="24" cm="1">
        <f t="array" ref="G8">AVERAGE(_xlfn._xlws.FILTER($B$5:$B$30,$C$5:$C$30=E8))</f>
        <v>766.66666666666663</v>
      </c>
      <c r="H8" s="25">
        <f>F8/$G$5</f>
        <v>0.22973580382560055</v>
      </c>
    </row>
    <row r="9" spans="2:8" x14ac:dyDescent="0.25">
      <c r="B9" s="20">
        <v>900</v>
      </c>
      <c r="C9" s="1" t="s">
        <v>31</v>
      </c>
      <c r="E9" s="4" t="s">
        <v>32</v>
      </c>
      <c r="F9" s="24" cm="1">
        <f t="array" ref="F9">SUM(_xlfn._xlws.FILTER($B$5:$B$30,$C$5:$C$30=E9))</f>
        <v>3100</v>
      </c>
      <c r="G9" s="24" cm="1">
        <f t="array" ref="G9">AVERAGE(_xlfn._xlws.FILTER($B$5:$B$30,$C$5:$C$30=E9))</f>
        <v>775</v>
      </c>
      <c r="H9" s="25">
        <f t="shared" ref="H9:H11" si="0">F9/$G$5</f>
        <v>0.15482195475203517</v>
      </c>
    </row>
    <row r="10" spans="2:8" x14ac:dyDescent="0.25">
      <c r="B10" s="20">
        <v>800</v>
      </c>
      <c r="C10" s="1" t="s">
        <v>30</v>
      </c>
      <c r="E10" s="4" t="s">
        <v>31</v>
      </c>
      <c r="F10" s="24" cm="1">
        <f t="array" ref="F10">SUM(_xlfn._xlws.FILTER($B$5:$B$30,$C$5:$C$30=E10))</f>
        <v>6600</v>
      </c>
      <c r="G10" s="24" cm="1">
        <f t="array" ref="G10">AVERAGE(_xlfn._xlws.FILTER($B$5:$B$30,$C$5:$C$30=E10))</f>
        <v>825</v>
      </c>
      <c r="H10" s="25">
        <f t="shared" si="0"/>
        <v>0.32962093592368774</v>
      </c>
    </row>
    <row r="11" spans="2:8" x14ac:dyDescent="0.25">
      <c r="B11" s="20">
        <v>900</v>
      </c>
      <c r="C11" s="1" t="s">
        <v>31</v>
      </c>
      <c r="E11" s="4" t="s">
        <v>33</v>
      </c>
      <c r="F11" s="24" cm="1">
        <f t="array" ref="F11">SUM(_xlfn._xlws.FILTER($B$5:$B$30,$C$5:$C$30=E11))</f>
        <v>5723</v>
      </c>
      <c r="G11" s="24" cm="1">
        <f t="array" ref="G11">AVERAGE(_xlfn._xlws.FILTER($B$5:$B$30,$C$5:$C$30=E11))</f>
        <v>715.375</v>
      </c>
      <c r="H11" s="25">
        <f t="shared" si="0"/>
        <v>0.28582130549867651</v>
      </c>
    </row>
    <row r="12" spans="2:8" x14ac:dyDescent="0.25">
      <c r="B12" s="20">
        <v>800</v>
      </c>
      <c r="C12" s="1" t="s">
        <v>31</v>
      </c>
    </row>
    <row r="13" spans="2:8" x14ac:dyDescent="0.25">
      <c r="B13" s="20">
        <v>800</v>
      </c>
      <c r="C13" s="1" t="s">
        <v>30</v>
      </c>
    </row>
    <row r="14" spans="2:8" x14ac:dyDescent="0.25">
      <c r="B14" s="20">
        <v>600</v>
      </c>
      <c r="C14" s="1" t="s">
        <v>31</v>
      </c>
    </row>
    <row r="15" spans="2:8" x14ac:dyDescent="0.25">
      <c r="B15" s="20">
        <v>600</v>
      </c>
      <c r="C15" s="1" t="s">
        <v>30</v>
      </c>
    </row>
    <row r="16" spans="2:8" x14ac:dyDescent="0.25">
      <c r="B16" s="20">
        <v>900</v>
      </c>
      <c r="C16" s="1" t="s">
        <v>32</v>
      </c>
    </row>
    <row r="17" spans="2:8" x14ac:dyDescent="0.25">
      <c r="B17" s="20">
        <v>900</v>
      </c>
      <c r="C17" s="1" t="s">
        <v>32</v>
      </c>
    </row>
    <row r="18" spans="2:8" x14ac:dyDescent="0.25">
      <c r="B18" s="20">
        <v>800</v>
      </c>
      <c r="C18" s="1" t="s">
        <v>30</v>
      </c>
    </row>
    <row r="19" spans="2:8" x14ac:dyDescent="0.25">
      <c r="B19" s="20">
        <v>800</v>
      </c>
      <c r="C19" s="1" t="s">
        <v>30</v>
      </c>
      <c r="E19" s="1" t="s">
        <v>37</v>
      </c>
      <c r="F19" s="1" t="s">
        <v>38</v>
      </c>
      <c r="H19" s="1">
        <f>COUNT(B5:B30)</f>
        <v>26</v>
      </c>
    </row>
    <row r="20" spans="2:8" x14ac:dyDescent="0.25">
      <c r="B20" s="20">
        <v>900</v>
      </c>
      <c r="C20" s="1" t="s">
        <v>31</v>
      </c>
    </row>
    <row r="21" spans="2:8" x14ac:dyDescent="0.25">
      <c r="B21" s="20">
        <v>600</v>
      </c>
      <c r="C21" s="1" t="s">
        <v>32</v>
      </c>
      <c r="E21" s="2" t="s">
        <v>39</v>
      </c>
      <c r="F21" s="2"/>
      <c r="G21" s="2"/>
      <c r="H21" s="2"/>
    </row>
    <row r="22" spans="2:8" x14ac:dyDescent="0.25">
      <c r="B22" s="20">
        <v>800</v>
      </c>
      <c r="C22" s="1" t="s">
        <v>31</v>
      </c>
    </row>
    <row r="23" spans="2:8" x14ac:dyDescent="0.25">
      <c r="B23" s="20">
        <v>900</v>
      </c>
      <c r="C23" s="1" t="s">
        <v>33</v>
      </c>
    </row>
    <row r="24" spans="2:8" x14ac:dyDescent="0.25">
      <c r="B24" s="20">
        <v>600</v>
      </c>
      <c r="C24" s="1" t="s">
        <v>33</v>
      </c>
    </row>
    <row r="25" spans="2:8" x14ac:dyDescent="0.25">
      <c r="B25" s="20">
        <v>800</v>
      </c>
      <c r="C25" s="1" t="s">
        <v>31</v>
      </c>
    </row>
    <row r="26" spans="2:8" x14ac:dyDescent="0.25">
      <c r="B26" s="20">
        <v>800</v>
      </c>
      <c r="C26" s="1" t="s">
        <v>33</v>
      </c>
    </row>
    <row r="27" spans="2:8" x14ac:dyDescent="0.25">
      <c r="B27" s="20">
        <v>700</v>
      </c>
      <c r="C27" s="1" t="s">
        <v>33</v>
      </c>
    </row>
    <row r="28" spans="2:8" x14ac:dyDescent="0.25">
      <c r="B28" s="20">
        <v>123</v>
      </c>
      <c r="C28" s="1" t="s">
        <v>33</v>
      </c>
    </row>
    <row r="29" spans="2:8" x14ac:dyDescent="0.25">
      <c r="B29" s="20">
        <v>1000</v>
      </c>
      <c r="C29" s="1" t="s">
        <v>33</v>
      </c>
    </row>
    <row r="30" spans="2:8" x14ac:dyDescent="0.25">
      <c r="B30" s="20">
        <v>1000</v>
      </c>
      <c r="C30" s="1" t="s">
        <v>33</v>
      </c>
    </row>
  </sheetData>
  <mergeCells count="2">
    <mergeCell ref="E2:H2"/>
    <mergeCell ref="E21:H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rTablero1">
                <anchor moveWithCells="1" sizeWithCells="1">
                  <from>
                    <xdr:col>6</xdr:col>
                    <xdr:colOff>438150</xdr:colOff>
                    <xdr:row>12</xdr:row>
                    <xdr:rowOff>85725</xdr:rowOff>
                  </from>
                  <to>
                    <xdr:col>7</xdr:col>
                    <xdr:colOff>733425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D74-9215-4AE7-A615-E1E040F203D6}">
  <sheetPr codeName="Hoja3"/>
  <dimension ref="B2:M32"/>
  <sheetViews>
    <sheetView tabSelected="1" topLeftCell="A4" zoomScale="175" zoomScaleNormal="175" workbookViewId="0">
      <selection activeCell="I9" sqref="I9"/>
    </sheetView>
  </sheetViews>
  <sheetFormatPr baseColWidth="10" defaultRowHeight="15" x14ac:dyDescent="0.25"/>
  <sheetData>
    <row r="2" spans="2:13" x14ac:dyDescent="0.25">
      <c r="B2" t="s">
        <v>40</v>
      </c>
    </row>
    <row r="4" spans="2:13" x14ac:dyDescent="0.25">
      <c r="B4" t="s">
        <v>41</v>
      </c>
    </row>
    <row r="5" spans="2:13" ht="15.75" thickBot="1" x14ac:dyDescent="0.3">
      <c r="J5" s="34" t="s">
        <v>51</v>
      </c>
      <c r="K5" s="37">
        <f>DATE(C8,D8,1)</f>
        <v>45261</v>
      </c>
      <c r="L5" s="34"/>
      <c r="M5" s="37">
        <f>DATEVALUE(C8&amp;"/"&amp;D8&amp;"/"&amp;E8)</f>
        <v>45289</v>
      </c>
    </row>
    <row r="6" spans="2:13" x14ac:dyDescent="0.25">
      <c r="C6" s="26" t="s">
        <v>45</v>
      </c>
      <c r="D6" s="27"/>
      <c r="E6" s="28"/>
      <c r="F6" s="26" t="s">
        <v>46</v>
      </c>
      <c r="G6" s="27"/>
      <c r="H6" s="28"/>
      <c r="J6" s="34" t="s">
        <v>50</v>
      </c>
      <c r="K6" s="37">
        <f>EOMONTH(DATE(F8,G8,H8),0) + 1</f>
        <v>45931</v>
      </c>
      <c r="L6" s="34"/>
      <c r="M6" s="37">
        <f>DATEVALUE(F8&amp;"/"&amp;G8&amp;"/"&amp;H8)</f>
        <v>45925</v>
      </c>
    </row>
    <row r="7" spans="2:13" x14ac:dyDescent="0.25">
      <c r="C7" s="29" t="s">
        <v>42</v>
      </c>
      <c r="D7" s="4" t="s">
        <v>43</v>
      </c>
      <c r="E7" s="30" t="s">
        <v>44</v>
      </c>
      <c r="F7" s="29" t="s">
        <v>42</v>
      </c>
      <c r="G7" s="4" t="s">
        <v>43</v>
      </c>
      <c r="H7" s="30" t="s">
        <v>44</v>
      </c>
      <c r="J7" s="34"/>
      <c r="K7" s="34"/>
      <c r="L7" s="34"/>
      <c r="M7" s="34"/>
    </row>
    <row r="8" spans="2:13" ht="15.75" thickBot="1" x14ac:dyDescent="0.3">
      <c r="B8" t="s">
        <v>12</v>
      </c>
      <c r="C8" s="31">
        <v>2023</v>
      </c>
      <c r="D8" s="32">
        <v>12</v>
      </c>
      <c r="E8" s="33">
        <v>29</v>
      </c>
      <c r="F8" s="31">
        <v>2025</v>
      </c>
      <c r="G8" s="32">
        <v>9</v>
      </c>
      <c r="H8" s="33">
        <v>25</v>
      </c>
      <c r="J8" s="34"/>
      <c r="K8" s="34"/>
      <c r="L8" s="34"/>
      <c r="M8" s="34"/>
    </row>
    <row r="9" spans="2:13" x14ac:dyDescent="0.25">
      <c r="J9" s="34"/>
      <c r="K9" s="34"/>
      <c r="L9" s="34"/>
      <c r="M9" s="34"/>
    </row>
    <row r="10" spans="2:13" x14ac:dyDescent="0.25">
      <c r="C10" t="s">
        <v>52</v>
      </c>
      <c r="D10" t="s">
        <v>53</v>
      </c>
      <c r="E10" s="2" t="s">
        <v>54</v>
      </c>
      <c r="F10" s="2"/>
      <c r="G10" s="2"/>
      <c r="H10" s="2"/>
      <c r="J10" s="35" t="s">
        <v>47</v>
      </c>
      <c r="K10" s="34">
        <f>K6-K5</f>
        <v>670</v>
      </c>
      <c r="L10" s="38">
        <f>YEARFRAC(K5,K6,3) * 365</f>
        <v>670</v>
      </c>
      <c r="M10" s="34">
        <f>M6-M5</f>
        <v>636</v>
      </c>
    </row>
    <row r="11" spans="2:13" ht="15" customHeight="1" x14ac:dyDescent="0.25">
      <c r="B11">
        <f>1</f>
        <v>1</v>
      </c>
      <c r="C11" s="40">
        <f>K5</f>
        <v>45261</v>
      </c>
      <c r="D11" s="40">
        <f>K6</f>
        <v>45931</v>
      </c>
      <c r="E11" t="s">
        <v>37</v>
      </c>
      <c r="F11" s="41" t="s">
        <v>55</v>
      </c>
      <c r="G11" s="41"/>
      <c r="H11" s="41"/>
      <c r="J11" s="36" t="s">
        <v>48</v>
      </c>
      <c r="K11" s="38">
        <f>(K6-K5)/365 * 12</f>
        <v>22.027397260273972</v>
      </c>
      <c r="L11" s="38">
        <f>YEARFRAC(K5,K6)*12</f>
        <v>22</v>
      </c>
      <c r="M11" s="39">
        <f>ROUNDDOWN(K11,0)</f>
        <v>22</v>
      </c>
    </row>
    <row r="12" spans="2:13" x14ac:dyDescent="0.25">
      <c r="B12">
        <f t="shared" ref="B12:B32" si="0">B11+1</f>
        <v>2</v>
      </c>
      <c r="C12" s="40">
        <f t="shared" ref="C12:C32" si="1">D11+1</f>
        <v>45932</v>
      </c>
      <c r="D12" s="40">
        <f t="shared" ref="D12:D32" si="2">EOMONTH(C12,0)</f>
        <v>45961</v>
      </c>
      <c r="F12" s="41"/>
      <c r="G12" s="41"/>
      <c r="H12" s="41"/>
      <c r="J12" s="35" t="s">
        <v>49</v>
      </c>
      <c r="K12" s="34">
        <f>(K6-K5)/365</f>
        <v>1.8356164383561644</v>
      </c>
      <c r="L12" s="34">
        <f>YEARFRAC(K5,K6,3)</f>
        <v>1.8356164383561644</v>
      </c>
      <c r="M12" s="34">
        <f>ROUNDUP(L12,0)</f>
        <v>2</v>
      </c>
    </row>
    <row r="13" spans="2:13" x14ac:dyDescent="0.25">
      <c r="B13">
        <f t="shared" si="0"/>
        <v>3</v>
      </c>
      <c r="C13" s="40">
        <f t="shared" si="1"/>
        <v>45962</v>
      </c>
      <c r="D13" s="40">
        <f t="shared" si="2"/>
        <v>45991</v>
      </c>
      <c r="F13" s="41"/>
      <c r="G13" s="41"/>
      <c r="H13" s="41"/>
      <c r="J13" s="34"/>
      <c r="K13" s="34">
        <f>ROUNDDOWN(K12,0)</f>
        <v>1</v>
      </c>
      <c r="L13" s="34">
        <f>ROUNDUP(K12,0)</f>
        <v>2</v>
      </c>
      <c r="M13" s="34"/>
    </row>
    <row r="14" spans="2:13" x14ac:dyDescent="0.25">
      <c r="B14">
        <f t="shared" si="0"/>
        <v>4</v>
      </c>
      <c r="C14" s="40">
        <f t="shared" si="1"/>
        <v>45992</v>
      </c>
      <c r="D14" s="40">
        <f t="shared" si="2"/>
        <v>46022</v>
      </c>
      <c r="F14" s="42"/>
      <c r="G14" s="42"/>
      <c r="H14" s="42"/>
      <c r="J14" s="34"/>
      <c r="K14" s="34"/>
      <c r="L14" s="38">
        <f>L12*12</f>
        <v>22.027397260273972</v>
      </c>
      <c r="M14" s="34"/>
    </row>
    <row r="15" spans="2:13" x14ac:dyDescent="0.25">
      <c r="B15">
        <f t="shared" si="0"/>
        <v>5</v>
      </c>
      <c r="C15" s="40">
        <f t="shared" si="1"/>
        <v>46023</v>
      </c>
      <c r="D15" s="40">
        <f t="shared" si="2"/>
        <v>46053</v>
      </c>
      <c r="F15" s="42"/>
      <c r="G15" s="42"/>
      <c r="H15" s="42"/>
      <c r="J15" s="34"/>
      <c r="K15" s="34"/>
      <c r="L15" s="34"/>
      <c r="M15" s="34"/>
    </row>
    <row r="16" spans="2:13" x14ac:dyDescent="0.25">
      <c r="B16">
        <f t="shared" si="0"/>
        <v>6</v>
      </c>
      <c r="C16" s="40">
        <f t="shared" si="1"/>
        <v>46054</v>
      </c>
      <c r="D16" s="40">
        <f t="shared" si="2"/>
        <v>46081</v>
      </c>
      <c r="F16" s="42"/>
      <c r="G16" s="42"/>
      <c r="H16" s="42"/>
      <c r="J16" s="34"/>
      <c r="K16" s="34"/>
      <c r="L16" s="34"/>
      <c r="M16" s="34"/>
    </row>
    <row r="17" spans="2:13" x14ac:dyDescent="0.25">
      <c r="B17">
        <f t="shared" si="0"/>
        <v>7</v>
      </c>
      <c r="C17" s="40">
        <f t="shared" si="1"/>
        <v>46082</v>
      </c>
      <c r="D17" s="40">
        <f t="shared" si="2"/>
        <v>46112</v>
      </c>
      <c r="F17" s="42"/>
      <c r="G17" s="42"/>
      <c r="H17" s="42"/>
      <c r="J17" s="34"/>
      <c r="K17" s="34"/>
      <c r="L17" s="34"/>
      <c r="M17" s="34"/>
    </row>
    <row r="18" spans="2:13" x14ac:dyDescent="0.25">
      <c r="B18">
        <f t="shared" si="0"/>
        <v>8</v>
      </c>
      <c r="C18" s="40">
        <f t="shared" si="1"/>
        <v>46113</v>
      </c>
      <c r="D18" s="40">
        <f t="shared" si="2"/>
        <v>46142</v>
      </c>
      <c r="F18" s="42"/>
      <c r="G18" s="42"/>
      <c r="H18" s="42"/>
    </row>
    <row r="19" spans="2:13" x14ac:dyDescent="0.25">
      <c r="B19">
        <f t="shared" si="0"/>
        <v>9</v>
      </c>
      <c r="C19" s="40">
        <f t="shared" si="1"/>
        <v>46143</v>
      </c>
      <c r="D19" s="40">
        <f t="shared" si="2"/>
        <v>46173</v>
      </c>
    </row>
    <row r="20" spans="2:13" x14ac:dyDescent="0.25">
      <c r="B20">
        <f t="shared" si="0"/>
        <v>10</v>
      </c>
      <c r="C20" s="40">
        <f t="shared" si="1"/>
        <v>46174</v>
      </c>
      <c r="D20" s="40">
        <f t="shared" si="2"/>
        <v>46203</v>
      </c>
    </row>
    <row r="21" spans="2:13" x14ac:dyDescent="0.25">
      <c r="B21">
        <f t="shared" si="0"/>
        <v>11</v>
      </c>
      <c r="C21" s="40">
        <f t="shared" si="1"/>
        <v>46204</v>
      </c>
      <c r="D21" s="40">
        <f t="shared" si="2"/>
        <v>46234</v>
      </c>
    </row>
    <row r="22" spans="2:13" x14ac:dyDescent="0.25">
      <c r="B22">
        <f t="shared" si="0"/>
        <v>12</v>
      </c>
      <c r="C22" s="40">
        <f t="shared" si="1"/>
        <v>46235</v>
      </c>
      <c r="D22" s="40">
        <f t="shared" si="2"/>
        <v>46265</v>
      </c>
    </row>
    <row r="23" spans="2:13" x14ac:dyDescent="0.25">
      <c r="B23">
        <f t="shared" si="0"/>
        <v>13</v>
      </c>
      <c r="C23" s="40">
        <f t="shared" si="1"/>
        <v>46266</v>
      </c>
      <c r="D23" s="40">
        <f t="shared" si="2"/>
        <v>46295</v>
      </c>
    </row>
    <row r="24" spans="2:13" x14ac:dyDescent="0.25">
      <c r="B24">
        <f t="shared" si="0"/>
        <v>14</v>
      </c>
      <c r="C24" s="40">
        <f t="shared" si="1"/>
        <v>46296</v>
      </c>
      <c r="D24" s="40">
        <f t="shared" si="2"/>
        <v>46326</v>
      </c>
    </row>
    <row r="25" spans="2:13" x14ac:dyDescent="0.25">
      <c r="B25">
        <f t="shared" si="0"/>
        <v>15</v>
      </c>
      <c r="C25" s="40">
        <f t="shared" si="1"/>
        <v>46327</v>
      </c>
      <c r="D25" s="40">
        <f t="shared" si="2"/>
        <v>46356</v>
      </c>
    </row>
    <row r="26" spans="2:13" x14ac:dyDescent="0.25">
      <c r="B26">
        <f t="shared" si="0"/>
        <v>16</v>
      </c>
      <c r="C26" s="40">
        <f t="shared" si="1"/>
        <v>46357</v>
      </c>
      <c r="D26" s="40">
        <f t="shared" si="2"/>
        <v>46387</v>
      </c>
    </row>
    <row r="27" spans="2:13" x14ac:dyDescent="0.25">
      <c r="B27">
        <f t="shared" si="0"/>
        <v>17</v>
      </c>
      <c r="C27" s="40">
        <f t="shared" si="1"/>
        <v>46388</v>
      </c>
      <c r="D27" s="40">
        <f t="shared" si="2"/>
        <v>46418</v>
      </c>
    </row>
    <row r="28" spans="2:13" x14ac:dyDescent="0.25">
      <c r="B28">
        <f t="shared" si="0"/>
        <v>18</v>
      </c>
      <c r="C28" s="40">
        <f t="shared" si="1"/>
        <v>46419</v>
      </c>
      <c r="D28" s="40">
        <f t="shared" si="2"/>
        <v>46446</v>
      </c>
    </row>
    <row r="29" spans="2:13" x14ac:dyDescent="0.25">
      <c r="B29">
        <f t="shared" si="0"/>
        <v>19</v>
      </c>
      <c r="C29" s="40">
        <f t="shared" si="1"/>
        <v>46447</v>
      </c>
      <c r="D29" s="40">
        <f t="shared" si="2"/>
        <v>46477</v>
      </c>
    </row>
    <row r="30" spans="2:13" x14ac:dyDescent="0.25">
      <c r="B30">
        <f t="shared" si="0"/>
        <v>20</v>
      </c>
      <c r="C30" s="40">
        <f t="shared" si="1"/>
        <v>46478</v>
      </c>
      <c r="D30" s="40">
        <f t="shared" si="2"/>
        <v>46507</v>
      </c>
    </row>
    <row r="31" spans="2:13" x14ac:dyDescent="0.25">
      <c r="B31">
        <f t="shared" si="0"/>
        <v>21</v>
      </c>
      <c r="C31" s="40">
        <f t="shared" si="1"/>
        <v>46508</v>
      </c>
      <c r="D31" s="40">
        <f t="shared" si="2"/>
        <v>46538</v>
      </c>
    </row>
    <row r="32" spans="2:13" x14ac:dyDescent="0.25">
      <c r="B32">
        <f t="shared" si="0"/>
        <v>22</v>
      </c>
      <c r="C32" s="40">
        <f t="shared" si="1"/>
        <v>46539</v>
      </c>
      <c r="D32" s="40">
        <f t="shared" si="2"/>
        <v>46568</v>
      </c>
    </row>
  </sheetData>
  <mergeCells count="4">
    <mergeCell ref="C6:E6"/>
    <mergeCell ref="F6:H6"/>
    <mergeCell ref="E10:H10"/>
    <mergeCell ref="F11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alcularCalendario">
                <anchor moveWithCells="1" sizeWithCells="1">
                  <from>
                    <xdr:col>5</xdr:col>
                    <xdr:colOff>66675</xdr:colOff>
                    <xdr:row>14</xdr:row>
                    <xdr:rowOff>104775</xdr:rowOff>
                  </from>
                  <to>
                    <xdr:col>7</xdr:col>
                    <xdr:colOff>381000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Tipos de Tableros</vt:lpstr>
      <vt:lpstr>Tablero Estático 1</vt:lpstr>
      <vt:lpstr>Tablero Dinámico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2026-07-16T21:10:37Z</dcterms:created>
  <dcterms:modified xsi:type="dcterms:W3CDTF">2026-07-16T23:06:19Z</dcterms:modified>
</cp:coreProperties>
</file>