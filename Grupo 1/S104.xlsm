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1\"/>
    </mc:Choice>
  </mc:AlternateContent>
  <xr:revisionPtr revIDLastSave="0" documentId="13_ncr:1_{DD7BF478-7CA4-47D9-9EA7-BC6CD968098E}" xr6:coauthVersionLast="47" xr6:coauthVersionMax="47" xr10:uidLastSave="{00000000-0000-0000-0000-000000000000}"/>
  <bookViews>
    <workbookView xWindow="-120" yWindow="-120" windowWidth="29040" windowHeight="15720" activeTab="4" xr2:uid="{F2FF124A-20F7-4243-A408-029FD6036171}"/>
  </bookViews>
  <sheets>
    <sheet name="Dimensiones de la Tabla" sheetId="1" r:id="rId1"/>
    <sheet name="Pagos" sheetId="4" r:id="rId2"/>
    <sheet name="Tablero 1 - Grabación" sheetId="2" r:id="rId3"/>
    <sheet name="Tablero 2 - Macro VBA" sheetId="3" r:id="rId4"/>
    <sheet name="Práctica 1" sheetId="7" r:id="rId5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F8" i="3" l="1"/>
  <c r="E8" i="3"/>
  <c r="C7" i="3"/>
  <c r="D10" i="4"/>
  <c r="H10" i="1"/>
  <c r="G10" i="1"/>
  <c r="H14" i="1"/>
  <c r="G14" i="1"/>
  <c r="E13" i="1"/>
</calcChain>
</file>

<file path=xl/sharedStrings.xml><?xml version="1.0" encoding="utf-8"?>
<sst xmlns="http://schemas.openxmlformats.org/spreadsheetml/2006/main" count="93" uniqueCount="54">
  <si>
    <t>Dimensión de una tabla</t>
  </si>
  <si>
    <t>Las tablas no formalizadas generalmente no definen un límite concreto y esto produce que los cálculos dependan de la observación, por ejemplo, una tabla de registros de pagos podría ser actualizada diariamente y la macro necesita determinar la última de las filas para poder hacer el cálculo completo</t>
  </si>
  <si>
    <t>Fecha</t>
  </si>
  <si>
    <t>Monto</t>
  </si>
  <si>
    <t>Pagos</t>
  </si>
  <si>
    <t>CTRL + ABAJO</t>
  </si>
  <si>
    <t>BARRIDO HACIA ABAJO</t>
  </si>
  <si>
    <t>Continuar bajo la misma condición de los datos, por ejemplo, si hay datos continua hasta que ya no haya datos y si no hay datos frena hasta que haya datos o se toque el máximo de filas (1,048,576)</t>
  </si>
  <si>
    <t>VBA - Controles de desplazamiento</t>
  </si>
  <si>
    <t>xlUp</t>
  </si>
  <si>
    <t>CTRL + ARRIBA</t>
  </si>
  <si>
    <t>xlDown</t>
  </si>
  <si>
    <t>xlToLeft</t>
  </si>
  <si>
    <t>CTRL + IZQUIERDA</t>
  </si>
  <si>
    <t>xlToRight</t>
  </si>
  <si>
    <t>CTRL + Derecha</t>
  </si>
  <si>
    <t>Pagos Recibidos</t>
  </si>
  <si>
    <t>Fecha Inicio</t>
  </si>
  <si>
    <t>Fecha Final</t>
  </si>
  <si>
    <t>Total</t>
  </si>
  <si>
    <t>Montos</t>
  </si>
  <si>
    <t>Suma</t>
  </si>
  <si>
    <t>Promedio</t>
  </si>
  <si>
    <t>BOTÓN REGRISTRAR</t>
  </si>
  <si>
    <t>Pagos recibidos</t>
  </si>
  <si>
    <t>Fecha Inicial</t>
  </si>
  <si>
    <t>PRÁCTICA 1</t>
  </si>
  <si>
    <t>Grabar la construcción de un tablero y establecer los cálculos con una Macro de VBA</t>
  </si>
  <si>
    <t>1. En una hoja blanca comenzar la grabación del diseño vacío del tablero, considerando estilos y formatos de las celdas</t>
  </si>
  <si>
    <t>2. En una Macro de VBA recuperar las celdas límite con las que se aplicarán las fórmulas para contar, sumar y promediar</t>
  </si>
  <si>
    <t>3. Construir la fórmula sobre las celdas de salida que usen las dirección y la hoja de los datos (Pagos)</t>
  </si>
  <si>
    <t>4. Asignar los botones de reconstruir el tablero y de recalcular los datos (conteo, suma y el promedio)</t>
  </si>
  <si>
    <t>Reto</t>
  </si>
  <si>
    <t>* Hacer algo similar para ubicar la fecha mínima y la máxima sobre el tablero</t>
  </si>
  <si>
    <t>Dim</t>
  </si>
  <si>
    <t>As</t>
  </si>
  <si>
    <t>Range</t>
  </si>
  <si>
    <t>Set</t>
  </si>
  <si>
    <t>=</t>
  </si>
  <si>
    <t>celdaInicial</t>
  </si>
  <si>
    <t>celdaFinal</t>
  </si>
  <si>
    <t>celdaInicial.End(xlDown)</t>
  </si>
  <si>
    <t>ws2.Range("B3")</t>
  </si>
  <si>
    <t>ws1.Range("E8").Formula2Local</t>
  </si>
  <si>
    <t>"=SUMA('Pagos'!"</t>
  </si>
  <si>
    <t>&amp;</t>
  </si>
  <si>
    <t>celdaIncial.Address</t>
  </si>
  <si>
    <t>&amp; ":" &amp;</t>
  </si>
  <si>
    <t>celdaFinal.Address</t>
  </si>
  <si>
    <t>&amp; ")"</t>
  </si>
  <si>
    <t>"=SUMA('Pagos'!B3:B13)"</t>
  </si>
  <si>
    <t>ws1</t>
  </si>
  <si>
    <t>WorkSheet</t>
  </si>
  <si>
    <t>ThisWorkbook.Worksheets("Práctica 1")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</si>
</sst>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80A]* #,##0.00_-;\-[$$-80A]* #,##0.00_-;_-[$$-80A]* &quot;-&quot;??_-;_-@_-"/>
    <numFmt numFmtId="168" formatCode="dddd\ d\,\ mmmm\ yyyy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5700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color theme="1" tint="0.499984740745262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2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2" applyNumberFormat="0" applyAlignment="0" applyProtection="0"/>
    <xf numFmtId="0" fontId="5" fillId="4" borderId="1" applyNumberFormat="0" applyAlignment="0" applyProtection="0"/>
    <xf numFmtId="0" fontId="1" fillId="5" borderId="3" applyNumberFormat="0" applyFont="0" applyAlignment="0" applyProtection="0"/>
  </cellStyleXfs>
  <cellXfs count="52">
    <xf numFmtId="0" fontId="0" fillId="0" borderId="0" xfId="0"/>
    <xf numFmtId="0" fontId="5" fillId="4" borderId="1" xfId="4" applyAlignment="1">
      <alignment horizontal="left" vertical="center" wrapText="1"/>
    </xf>
    <xf numFmtId="22" fontId="0" fillId="0" borderId="0" xfId="0" applyNumberFormat="1"/>
    <xf numFmtId="164" fontId="0" fillId="0" borderId="0" xfId="0" applyNumberFormat="1"/>
    <xf numFmtId="0" fontId="3" fillId="3" borderId="0" xfId="2"/>
    <xf numFmtId="0" fontId="4" fillId="4" borderId="2" xfId="3"/>
    <xf numFmtId="0" fontId="0" fillId="5" borderId="4" xfId="5" applyFont="1" applyBorder="1" applyAlignment="1">
      <alignment horizontal="center" wrapText="1"/>
    </xf>
    <xf numFmtId="0" fontId="0" fillId="5" borderId="5" xfId="5" applyFont="1" applyBorder="1" applyAlignment="1">
      <alignment horizontal="center" wrapText="1"/>
    </xf>
    <xf numFmtId="0" fontId="0" fillId="5" borderId="6" xfId="5" applyFont="1" applyBorder="1" applyAlignment="1">
      <alignment horizontal="center" wrapText="1"/>
    </xf>
    <xf numFmtId="0" fontId="0" fillId="5" borderId="7" xfId="5" applyFont="1" applyBorder="1" applyAlignment="1">
      <alignment horizontal="center" wrapText="1"/>
    </xf>
    <xf numFmtId="0" fontId="0" fillId="5" borderId="0" xfId="5" applyFont="1" applyBorder="1" applyAlignment="1">
      <alignment horizontal="center" wrapText="1"/>
    </xf>
    <xf numFmtId="0" fontId="0" fillId="5" borderId="8" xfId="5" applyFont="1" applyBorder="1" applyAlignment="1">
      <alignment horizontal="center" wrapText="1"/>
    </xf>
    <xf numFmtId="0" fontId="0" fillId="5" borderId="9" xfId="5" applyFont="1" applyBorder="1" applyAlignment="1">
      <alignment horizontal="center" wrapText="1"/>
    </xf>
    <xf numFmtId="0" fontId="0" fillId="5" borderId="10" xfId="5" applyFont="1" applyBorder="1" applyAlignment="1">
      <alignment horizontal="center" wrapText="1"/>
    </xf>
    <xf numFmtId="0" fontId="0" fillId="5" borderId="11" xfId="5" applyFont="1" applyBorder="1" applyAlignment="1">
      <alignment horizontal="center" wrapText="1"/>
    </xf>
    <xf numFmtId="0" fontId="2" fillId="2" borderId="0" xfId="1"/>
    <xf numFmtId="168" fontId="0" fillId="10" borderId="12" xfId="0" applyNumberFormat="1" applyFill="1" applyBorder="1" applyAlignment="1">
      <alignment horizontal="center"/>
    </xf>
    <xf numFmtId="0" fontId="8" fillId="7" borderId="12" xfId="0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164" fontId="7" fillId="6" borderId="12" xfId="0" applyNumberFormat="1" applyFont="1" applyFill="1" applyBorder="1"/>
    <xf numFmtId="164" fontId="0" fillId="6" borderId="12" xfId="0" applyNumberFormat="1" applyFont="1" applyFill="1" applyBorder="1"/>
    <xf numFmtId="0" fontId="6" fillId="7" borderId="12" xfId="0" applyFont="1" applyFill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0" fontId="6" fillId="11" borderId="12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center"/>
    </xf>
    <xf numFmtId="22" fontId="0" fillId="0" borderId="13" xfId="0" applyNumberFormat="1" applyBorder="1"/>
    <xf numFmtId="22" fontId="0" fillId="0" borderId="14" xfId="0" applyNumberFormat="1" applyBorder="1"/>
    <xf numFmtId="22" fontId="0" fillId="0" borderId="15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5" xfId="0" applyNumberFormat="1" applyBorder="1"/>
    <xf numFmtId="0" fontId="0" fillId="6" borderId="0" xfId="0" applyFill="1"/>
    <xf numFmtId="0" fontId="0" fillId="10" borderId="0" xfId="0" applyFill="1" applyAlignment="1">
      <alignment horizontal="center"/>
    </xf>
    <xf numFmtId="0" fontId="0" fillId="12" borderId="0" xfId="0" applyFill="1"/>
    <xf numFmtId="0" fontId="0" fillId="9" borderId="0" xfId="0" applyFill="1"/>
    <xf numFmtId="0" fontId="6" fillId="7" borderId="12" xfId="0" applyFont="1" applyFill="1" applyBorder="1" applyAlignment="1">
      <alignment horizontal="center"/>
    </xf>
    <xf numFmtId="0" fontId="10" fillId="13" borderId="12" xfId="0" applyFont="1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64" fontId="0" fillId="6" borderId="12" xfId="0" applyNumberFormat="1" applyFill="1" applyBorder="1" applyAlignment="1">
      <alignment horizontal="center"/>
    </xf>
    <xf numFmtId="0" fontId="0" fillId="5" borderId="24" xfId="5" applyFont="1" applyBorder="1" applyAlignment="1">
      <alignment horizontal="center"/>
    </xf>
    <xf numFmtId="0" fontId="0" fillId="5" borderId="25" xfId="5" applyFont="1" applyBorder="1" applyAlignment="1">
      <alignment horizontal="center"/>
    </xf>
    <xf numFmtId="0" fontId="0" fillId="5" borderId="26" xfId="5" applyFont="1" applyBorder="1" applyAlignment="1">
      <alignment horizontal="center"/>
    </xf>
  </cellXfs>
  <cellStyles count="6">
    <cellStyle name="Bueno" xfId="1" builtinId="26"/>
    <cellStyle name="Cálculo" xfId="4" builtinId="22"/>
    <cellStyle name="Neutral" xfId="2" builtinId="28"/>
    <cellStyle name="Normal" xfId="0" builtinId="0"/>
    <cellStyle name="Notas" xfId="5" builtinId="10"/>
    <cellStyle name="Salida" xfId="3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19050</xdr:rowOff>
        </xdr:from>
        <xdr:to>
          <xdr:col>4</xdr:col>
          <xdr:colOff>1097881</xdr:colOff>
          <xdr:row>10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751115</xdr:colOff>
          <xdr:row>9</xdr:row>
          <xdr:rowOff>167368</xdr:rowOff>
        </xdr:from>
        <xdr:to>
          <xdr:col>2</xdr:col>
          <xdr:colOff>179615</xdr:colOff>
          <xdr:row>11</xdr:row>
          <xdr:rowOff>24493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418B81E-1F71-0940-2587-4A0ED85224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Reconstruir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507547</xdr:colOff>
          <xdr:row>13</xdr:row>
          <xdr:rowOff>2722</xdr:rowOff>
        </xdr:from>
        <xdr:to>
          <xdr:col>2</xdr:col>
          <xdr:colOff>698047</xdr:colOff>
          <xdr:row>14</xdr:row>
          <xdr:rowOff>50347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973A83A-FD27-6EBF-2109-7C6C20932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Reconstruir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942975</xdr:colOff>
          <xdr:row>12</xdr:row>
          <xdr:rowOff>161925</xdr:rowOff>
        </xdr:from>
        <xdr:to>
          <xdr:col>6</xdr:col>
          <xdr:colOff>9525</xdr:colOff>
          <xdr:row>14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4AD38-9F03-4175-9C83-9F3E7C81E64B}">
  <sheetPr codeName="Hoja1"/>
  <dimension ref="B3:K27"/>
  <sheetViews>
    <sheetView zoomScale="190" zoomScaleNormal="190" workbookViewId="0">
      <selection activeCell="H13" sqref="H13"/>
    </sheetView>
  </sheetViews>
  <sheetFormatPr baseColWidth="10" defaultRowHeight="15" x14ac:dyDescent="0.25"/>
  <cols>
    <col min="2" max="2" width="13.7109375" bestFit="1" customWidth="1"/>
    <col min="5" max="5" width="16.5703125" customWidth="1"/>
    <col min="6" max="6" width="13.7109375" bestFit="1" customWidth="1"/>
    <col min="7" max="7" width="23.42578125" bestFit="1" customWidth="1"/>
    <col min="8" max="8" width="21.42578125" customWidth="1"/>
  </cols>
  <sheetData>
    <row r="3" spans="2:11" x14ac:dyDescent="0.25">
      <c r="B3" s="15" t="s">
        <v>0</v>
      </c>
      <c r="C3" s="15"/>
      <c r="E3" s="1" t="s">
        <v>1</v>
      </c>
      <c r="F3" s="1"/>
      <c r="G3" s="1"/>
      <c r="H3" s="1"/>
      <c r="I3" s="1"/>
      <c r="J3" s="1"/>
      <c r="K3" s="1"/>
    </row>
    <row r="4" spans="2:11" x14ac:dyDescent="0.25">
      <c r="E4" s="1"/>
      <c r="F4" s="1"/>
      <c r="G4" s="1"/>
      <c r="H4" s="1"/>
      <c r="I4" s="1"/>
      <c r="J4" s="1"/>
      <c r="K4" s="1"/>
    </row>
    <row r="5" spans="2:11" x14ac:dyDescent="0.25">
      <c r="E5" s="1"/>
      <c r="F5" s="1"/>
      <c r="G5" s="1"/>
      <c r="H5" s="1"/>
      <c r="I5" s="1"/>
      <c r="J5" s="1"/>
      <c r="K5" s="1"/>
    </row>
    <row r="6" spans="2:11" x14ac:dyDescent="0.25">
      <c r="E6" s="1"/>
      <c r="F6" s="1"/>
      <c r="G6" s="1"/>
      <c r="H6" s="1"/>
      <c r="I6" s="1"/>
      <c r="J6" s="1"/>
      <c r="K6" s="1"/>
    </row>
    <row r="7" spans="2:11" x14ac:dyDescent="0.25">
      <c r="E7" s="1"/>
      <c r="F7" s="1"/>
      <c r="G7" s="1"/>
      <c r="H7" s="1"/>
      <c r="I7" s="1"/>
      <c r="J7" s="1"/>
      <c r="K7" s="1"/>
    </row>
    <row r="9" spans="2:11" x14ac:dyDescent="0.25">
      <c r="E9" s="23" t="s">
        <v>16</v>
      </c>
      <c r="G9" s="17" t="s">
        <v>17</v>
      </c>
      <c r="H9" s="17" t="s">
        <v>18</v>
      </c>
    </row>
    <row r="10" spans="2:11" x14ac:dyDescent="0.25">
      <c r="B10" t="s">
        <v>4</v>
      </c>
      <c r="G10" s="16">
        <f>MIN(B12:B18)</f>
        <v>46210.599305555559</v>
      </c>
      <c r="H10" s="16">
        <f>MAX(B12:B18)</f>
        <v>46211.106249710647</v>
      </c>
    </row>
    <row r="11" spans="2:11" x14ac:dyDescent="0.25">
      <c r="B11" t="s">
        <v>2</v>
      </c>
      <c r="C11" t="s">
        <v>3</v>
      </c>
    </row>
    <row r="12" spans="2:11" x14ac:dyDescent="0.25">
      <c r="B12" s="2">
        <v>46210.599305555559</v>
      </c>
      <c r="C12" s="3">
        <v>789</v>
      </c>
      <c r="E12" s="21" t="s">
        <v>19</v>
      </c>
      <c r="G12" s="18" t="s">
        <v>20</v>
      </c>
      <c r="H12" s="18"/>
    </row>
    <row r="13" spans="2:11" x14ac:dyDescent="0.25">
      <c r="B13" s="2">
        <v>46210.700694444444</v>
      </c>
      <c r="C13" s="3">
        <v>234</v>
      </c>
      <c r="E13" s="22">
        <f>COUNT(C12:C18)</f>
        <v>7</v>
      </c>
      <c r="G13" s="17" t="s">
        <v>21</v>
      </c>
      <c r="H13" s="17" t="s">
        <v>22</v>
      </c>
    </row>
    <row r="14" spans="2:11" x14ac:dyDescent="0.25">
      <c r="B14" s="2">
        <v>46210.80208321759</v>
      </c>
      <c r="C14" s="3">
        <v>456</v>
      </c>
      <c r="G14" s="19">
        <f>SUM(C12:C18)</f>
        <v>4417</v>
      </c>
      <c r="H14" s="20">
        <f>AVERAGE(C12:C18)</f>
        <v>631</v>
      </c>
    </row>
    <row r="15" spans="2:11" x14ac:dyDescent="0.25">
      <c r="B15" s="2">
        <v>46210.903472048609</v>
      </c>
      <c r="C15" s="3">
        <v>987</v>
      </c>
    </row>
    <row r="16" spans="2:11" x14ac:dyDescent="0.25">
      <c r="B16" s="2">
        <v>46211.004860879628</v>
      </c>
      <c r="C16" s="3">
        <v>345</v>
      </c>
      <c r="G16" s="5" t="s">
        <v>6</v>
      </c>
      <c r="H16" s="5"/>
    </row>
    <row r="17" spans="2:11" x14ac:dyDescent="0.25">
      <c r="B17" s="2">
        <v>46211.106249710647</v>
      </c>
      <c r="C17" s="3">
        <v>921</v>
      </c>
    </row>
    <row r="18" spans="2:11" ht="15" customHeight="1" x14ac:dyDescent="0.25">
      <c r="B18" s="2">
        <v>46210.903472048609</v>
      </c>
      <c r="C18" s="3">
        <v>685</v>
      </c>
      <c r="E18" s="4" t="s">
        <v>5</v>
      </c>
      <c r="G18" s="6" t="s">
        <v>7</v>
      </c>
      <c r="H18" s="7"/>
      <c r="I18" s="7"/>
      <c r="J18" s="7"/>
      <c r="K18" s="8"/>
    </row>
    <row r="19" spans="2:11" x14ac:dyDescent="0.25">
      <c r="B19" s="2"/>
      <c r="C19" s="3"/>
      <c r="G19" s="9"/>
      <c r="H19" s="10"/>
      <c r="I19" s="10"/>
      <c r="J19" s="10"/>
      <c r="K19" s="11"/>
    </row>
    <row r="20" spans="2:11" x14ac:dyDescent="0.25">
      <c r="B20" s="2"/>
      <c r="C20" s="3"/>
      <c r="G20" s="12"/>
      <c r="H20" s="13"/>
      <c r="I20" s="13"/>
      <c r="J20" s="13"/>
      <c r="K20" s="14"/>
    </row>
    <row r="21" spans="2:11" x14ac:dyDescent="0.25">
      <c r="B21" s="2"/>
      <c r="C21" s="3"/>
    </row>
    <row r="22" spans="2:11" x14ac:dyDescent="0.25">
      <c r="B22" s="2"/>
      <c r="C22" s="3"/>
      <c r="E22" t="s">
        <v>8</v>
      </c>
    </row>
    <row r="23" spans="2:11" x14ac:dyDescent="0.25">
      <c r="B23" s="2"/>
      <c r="C23" s="3"/>
    </row>
    <row r="24" spans="2:11" x14ac:dyDescent="0.25">
      <c r="B24" s="2"/>
      <c r="C24" s="3"/>
      <c r="E24" t="s">
        <v>9</v>
      </c>
      <c r="F24" t="s">
        <v>10</v>
      </c>
    </row>
    <row r="25" spans="2:11" x14ac:dyDescent="0.25">
      <c r="B25" s="2"/>
      <c r="C25" s="3"/>
      <c r="E25" t="s">
        <v>11</v>
      </c>
      <c r="F25" t="s">
        <v>5</v>
      </c>
    </row>
    <row r="26" spans="2:11" x14ac:dyDescent="0.25">
      <c r="B26" s="2"/>
      <c r="C26" s="3"/>
      <c r="E26" t="s">
        <v>12</v>
      </c>
      <c r="F26" t="s">
        <v>13</v>
      </c>
    </row>
    <row r="27" spans="2:11" x14ac:dyDescent="0.25">
      <c r="E27" t="s">
        <v>14</v>
      </c>
      <c r="F27" t="s">
        <v>15</v>
      </c>
    </row>
  </sheetData>
  <mergeCells count="3">
    <mergeCell ref="E3:K7"/>
    <mergeCell ref="G18:K20"/>
    <mergeCell ref="G12:H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ctualizarReporte1">
                <anchor moveWithCells="1" sizeWithCells="1">
                  <from>
                    <xdr:col>4</xdr:col>
                    <xdr:colOff>0</xdr:colOff>
                    <xdr:row>9</xdr:row>
                    <xdr:rowOff>19050</xdr:rowOff>
                  </from>
                  <to>
                    <xdr:col>4</xdr:col>
                    <xdr:colOff>1095375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68BEDA-F38B-4D8C-9B93-4537E26A0C9A}">
  <sheetPr codeName="Hoja4"/>
  <dimension ref="A1:E13"/>
  <sheetViews>
    <sheetView zoomScale="205" zoomScaleNormal="205" workbookViewId="0">
      <selection activeCell="A3" sqref="A3:A13"/>
    </sheetView>
  </sheetViews>
  <sheetFormatPr baseColWidth="10" defaultRowHeight="15" x14ac:dyDescent="0.25"/>
  <cols>
    <col min="1" max="1" width="17.5703125" customWidth="1"/>
    <col min="2" max="2" width="16.5703125" customWidth="1"/>
    <col min="5" max="5" width="20.7109375" customWidth="1"/>
  </cols>
  <sheetData>
    <row r="1" spans="1:5" x14ac:dyDescent="0.25">
      <c r="A1" s="24" t="s">
        <v>4</v>
      </c>
      <c r="B1" s="24"/>
    </row>
    <row r="2" spans="1:5" x14ac:dyDescent="0.25">
      <c r="A2" s="25" t="s">
        <v>2</v>
      </c>
      <c r="B2" s="25" t="s">
        <v>3</v>
      </c>
    </row>
    <row r="3" spans="1:5" x14ac:dyDescent="0.25">
      <c r="A3" s="26">
        <v>46210.599305555559</v>
      </c>
      <c r="B3" s="29">
        <v>789</v>
      </c>
      <c r="D3" s="32" t="s">
        <v>2</v>
      </c>
      <c r="E3" s="34"/>
    </row>
    <row r="4" spans="1:5" x14ac:dyDescent="0.25">
      <c r="A4" s="27">
        <v>46210.700694444444</v>
      </c>
      <c r="B4" s="30">
        <v>234</v>
      </c>
      <c r="D4" s="32" t="s">
        <v>3</v>
      </c>
      <c r="E4" s="35"/>
    </row>
    <row r="5" spans="1:5" x14ac:dyDescent="0.25">
      <c r="A5" s="27">
        <v>46210.80208321759</v>
      </c>
      <c r="B5" s="30">
        <v>456</v>
      </c>
      <c r="D5" s="32"/>
      <c r="E5" s="32"/>
    </row>
    <row r="6" spans="1:5" x14ac:dyDescent="0.25">
      <c r="A6" s="27">
        <v>46210.903472048609</v>
      </c>
      <c r="B6" s="30">
        <v>987</v>
      </c>
      <c r="D6" s="32"/>
      <c r="E6" s="33" t="s">
        <v>23</v>
      </c>
    </row>
    <row r="7" spans="1:5" x14ac:dyDescent="0.25">
      <c r="A7" s="27">
        <v>46211.004860879628</v>
      </c>
      <c r="B7" s="30">
        <v>345</v>
      </c>
    </row>
    <row r="8" spans="1:5" x14ac:dyDescent="0.25">
      <c r="A8" s="27">
        <v>46211.106249710647</v>
      </c>
      <c r="B8" s="30">
        <v>921</v>
      </c>
    </row>
    <row r="9" spans="1:5" x14ac:dyDescent="0.25">
      <c r="A9" s="28">
        <v>46210.903472048609</v>
      </c>
      <c r="B9" s="31">
        <v>685</v>
      </c>
    </row>
    <row r="10" spans="1:5" x14ac:dyDescent="0.25">
      <c r="A10" s="27">
        <v>46211.004860879628</v>
      </c>
      <c r="B10" s="30">
        <v>990.33333333333303</v>
      </c>
      <c r="D10" s="3">
        <f>B5</f>
        <v>456</v>
      </c>
    </row>
    <row r="11" spans="1:5" x14ac:dyDescent="0.25">
      <c r="A11" s="27">
        <v>46211.106249710647</v>
      </c>
      <c r="B11" s="30">
        <v>1160.3333333333301</v>
      </c>
    </row>
    <row r="12" spans="1:5" x14ac:dyDescent="0.25">
      <c r="A12" s="28">
        <v>46210.903472048609</v>
      </c>
      <c r="B12" s="31">
        <v>1330.3333333333301</v>
      </c>
    </row>
    <row r="13" spans="1:5" x14ac:dyDescent="0.25">
      <c r="A13" s="27">
        <v>46211.004860879628</v>
      </c>
      <c r="B13" s="30">
        <v>1500.3333333333301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86ED7-18E2-43F7-A4FC-CBED8EAED5ED}">
  <sheetPr codeName="Hoja2"/>
  <dimension ref="B1:G9"/>
  <sheetViews>
    <sheetView zoomScale="175" zoomScaleNormal="175" workbookViewId="0">
      <selection activeCell="E14" sqref="E14"/>
    </sheetView>
  </sheetViews>
  <sheetFormatPr baseColWidth="10" defaultRowHeight="15" x14ac:dyDescent="0.25"/>
  <cols>
    <col min="3" max="3" width="19.42578125" customWidth="1"/>
    <col min="4" max="4" width="15.28515625" customWidth="1"/>
    <col min="5" max="5" width="15" customWidth="1"/>
    <col min="6" max="6" width="15.28515625" customWidth="1"/>
  </cols>
  <sheetData>
    <row r="1" spans="2:7" ht="15.75" thickBot="1" x14ac:dyDescent="0.3"/>
    <row r="2" spans="2:7" x14ac:dyDescent="0.25">
      <c r="B2" s="39"/>
      <c r="C2" s="40"/>
      <c r="D2" s="40"/>
      <c r="E2" s="40"/>
      <c r="F2" s="40"/>
      <c r="G2" s="41"/>
    </row>
    <row r="3" spans="2:7" x14ac:dyDescent="0.25">
      <c r="B3" s="42"/>
      <c r="C3" s="23" t="s">
        <v>24</v>
      </c>
      <c r="D3" s="43"/>
      <c r="E3" s="21" t="s">
        <v>25</v>
      </c>
      <c r="F3" s="21" t="s">
        <v>18</v>
      </c>
      <c r="G3" s="44"/>
    </row>
    <row r="4" spans="2:7" x14ac:dyDescent="0.25">
      <c r="B4" s="42"/>
      <c r="C4" s="43"/>
      <c r="D4" s="43"/>
      <c r="E4" s="38"/>
      <c r="F4" s="38"/>
      <c r="G4" s="44"/>
    </row>
    <row r="5" spans="2:7" x14ac:dyDescent="0.25">
      <c r="B5" s="42"/>
      <c r="C5" s="43"/>
      <c r="D5" s="43"/>
      <c r="E5" s="43"/>
      <c r="F5" s="43"/>
      <c r="G5" s="44"/>
    </row>
    <row r="6" spans="2:7" x14ac:dyDescent="0.25">
      <c r="B6" s="42"/>
      <c r="C6" s="21" t="s">
        <v>19</v>
      </c>
      <c r="D6" s="43"/>
      <c r="E6" s="36" t="s">
        <v>3</v>
      </c>
      <c r="F6" s="36"/>
      <c r="G6" s="44"/>
    </row>
    <row r="7" spans="2:7" x14ac:dyDescent="0.25">
      <c r="B7" s="42"/>
      <c r="C7" s="38"/>
      <c r="D7" s="43"/>
      <c r="E7" s="37" t="s">
        <v>21</v>
      </c>
      <c r="F7" s="37" t="s">
        <v>22</v>
      </c>
      <c r="G7" s="44"/>
    </row>
    <row r="8" spans="2:7" x14ac:dyDescent="0.25">
      <c r="B8" s="42"/>
      <c r="C8" s="43"/>
      <c r="D8" s="43"/>
      <c r="E8" s="38"/>
      <c r="F8" s="38"/>
      <c r="G8" s="44"/>
    </row>
    <row r="9" spans="2:7" ht="15.75" thickBot="1" x14ac:dyDescent="0.3">
      <c r="B9" s="45"/>
      <c r="C9" s="46"/>
      <c r="D9" s="46"/>
      <c r="E9" s="46"/>
      <c r="F9" s="46"/>
      <c r="G9" s="47"/>
    </row>
  </sheetData>
  <mergeCells count="1">
    <mergeCell ref="E6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nstruirTablero">
                <anchor moveWithCells="1" sizeWithCells="1">
                  <from>
                    <xdr:col>0</xdr:col>
                    <xdr:colOff>752475</xdr:colOff>
                    <xdr:row>9</xdr:row>
                    <xdr:rowOff>171450</xdr:rowOff>
                  </from>
                  <to>
                    <xdr:col>2</xdr:col>
                    <xdr:colOff>180975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38D4DB-3574-4ADB-A4B6-3A1E1DDB5C2B}">
  <sheetPr codeName="Hoja3"/>
  <dimension ref="B1:G9"/>
  <sheetViews>
    <sheetView zoomScale="130" zoomScaleNormal="130" workbookViewId="0">
      <selection activeCell="F4" sqref="F4"/>
    </sheetView>
  </sheetViews>
  <sheetFormatPr baseColWidth="10" defaultRowHeight="15" x14ac:dyDescent="0.25"/>
  <cols>
    <col min="3" max="3" width="19.42578125" customWidth="1"/>
    <col min="4" max="4" width="15.28515625" customWidth="1"/>
    <col min="5" max="5" width="15" customWidth="1"/>
    <col min="6" max="6" width="15.28515625" customWidth="1"/>
  </cols>
  <sheetData>
    <row r="1" spans="2:7" ht="15.75" thickBot="1" x14ac:dyDescent="0.3"/>
    <row r="2" spans="2:7" x14ac:dyDescent="0.25">
      <c r="B2" s="39"/>
      <c r="C2" s="40"/>
      <c r="D2" s="40"/>
      <c r="E2" s="40"/>
      <c r="F2" s="40"/>
      <c r="G2" s="41"/>
    </row>
    <row r="3" spans="2:7" x14ac:dyDescent="0.25">
      <c r="B3" s="42"/>
      <c r="C3" s="23" t="s">
        <v>24</v>
      </c>
      <c r="D3" s="43"/>
      <c r="E3" s="21" t="s">
        <v>25</v>
      </c>
      <c r="F3" s="21" t="s">
        <v>18</v>
      </c>
      <c r="G3" s="44"/>
    </row>
    <row r="4" spans="2:7" x14ac:dyDescent="0.25">
      <c r="B4" s="42"/>
      <c r="C4" s="43"/>
      <c r="D4" s="43"/>
      <c r="E4" s="38"/>
      <c r="F4" s="38"/>
      <c r="G4" s="44"/>
    </row>
    <row r="5" spans="2:7" x14ac:dyDescent="0.25">
      <c r="B5" s="42"/>
      <c r="C5" s="43"/>
      <c r="D5" s="43"/>
      <c r="E5" s="43"/>
      <c r="F5" s="43"/>
      <c r="G5" s="44"/>
    </row>
    <row r="6" spans="2:7" x14ac:dyDescent="0.25">
      <c r="B6" s="42"/>
      <c r="C6" s="21" t="s">
        <v>19</v>
      </c>
      <c r="D6" s="43"/>
      <c r="E6" s="36" t="s">
        <v>3</v>
      </c>
      <c r="F6" s="36"/>
      <c r="G6" s="44"/>
    </row>
    <row r="7" spans="2:7" x14ac:dyDescent="0.25">
      <c r="B7" s="42"/>
      <c r="C7" s="38">
        <f>COUNT(Pagos!$B$3:$B$13)</f>
        <v>11</v>
      </c>
      <c r="D7" s="43"/>
      <c r="E7" s="37" t="s">
        <v>21</v>
      </c>
      <c r="F7" s="37" t="s">
        <v>22</v>
      </c>
      <c r="G7" s="44"/>
    </row>
    <row r="8" spans="2:7" x14ac:dyDescent="0.25">
      <c r="B8" s="42"/>
      <c r="C8" s="43"/>
      <c r="D8" s="43"/>
      <c r="E8" s="48">
        <f>SUM(Pagos!$B$3:$B$13)</f>
        <v>9398.333333333323</v>
      </c>
      <c r="F8" s="48">
        <f>AVERAGE(Pagos!$B$3:$B$13)</f>
        <v>854.39393939393847</v>
      </c>
      <c r="G8" s="44"/>
    </row>
    <row r="9" spans="2:7" ht="15.75" thickBot="1" x14ac:dyDescent="0.3">
      <c r="B9" s="45"/>
      <c r="C9" s="46"/>
      <c r="D9" s="46"/>
      <c r="E9" s="46"/>
      <c r="F9" s="46"/>
      <c r="G9" s="47"/>
    </row>
  </sheetData>
  <mergeCells count="1">
    <mergeCell ref="E6:F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struirTablero">
                <anchor moveWithCells="1" sizeWithCells="1">
                  <from>
                    <xdr:col>1</xdr:col>
                    <xdr:colOff>504825</xdr:colOff>
                    <xdr:row>13</xdr:row>
                    <xdr:rowOff>0</xdr:rowOff>
                  </from>
                  <to>
                    <xdr:col>2</xdr:col>
                    <xdr:colOff>695325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uclarTablero">
                <anchor moveWithCells="1" sizeWithCells="1">
                  <from>
                    <xdr:col>4</xdr:col>
                    <xdr:colOff>942975</xdr:colOff>
                    <xdr:row>12</xdr:row>
                    <xdr:rowOff>161925</xdr:rowOff>
                  </from>
                  <to>
                    <xdr:col>6</xdr:col>
                    <xdr:colOff>9525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8A15D-BBE9-48DB-8DD8-9FEDDB299339}">
  <sheetPr codeName="Hoja6"/>
  <dimension ref="B3:O40"/>
  <sheetViews>
    <sheetView tabSelected="1" topLeftCell="A21" zoomScale="175" zoomScaleNormal="175" workbookViewId="0">
      <selection activeCell="J25" sqref="J25"/>
    </sheetView>
  </sheetViews>
  <sheetFormatPr baseColWidth="10" defaultRowHeight="15" x14ac:dyDescent="0.25"/>
  <cols>
    <col min="2" max="2" width="21.28515625" customWidth="1"/>
  </cols>
  <sheetData>
    <row r="3" spans="2:10" x14ac:dyDescent="0.25">
      <c r="B3" s="15" t="s">
        <v>26</v>
      </c>
      <c r="D3" s="49" t="s">
        <v>27</v>
      </c>
      <c r="E3" s="50"/>
      <c r="F3" s="50"/>
      <c r="G3" s="50"/>
      <c r="H3" s="50"/>
      <c r="I3" s="50"/>
      <c r="J3" s="51"/>
    </row>
    <row r="6" spans="2:10" x14ac:dyDescent="0.25">
      <c r="C6" t="s">
        <v>28</v>
      </c>
    </row>
    <row r="8" spans="2:10" x14ac:dyDescent="0.25">
      <c r="C8" t="s">
        <v>29</v>
      </c>
    </row>
    <row r="10" spans="2:10" x14ac:dyDescent="0.25">
      <c r="C10" t="s">
        <v>30</v>
      </c>
    </row>
    <row r="12" spans="2:10" x14ac:dyDescent="0.25">
      <c r="C12" t="s">
        <v>31</v>
      </c>
    </row>
    <row r="15" spans="2:10" x14ac:dyDescent="0.25">
      <c r="C15" t="s">
        <v>32</v>
      </c>
    </row>
    <row r="17" spans="3:6" x14ac:dyDescent="0.25">
      <c r="C17" t="s">
        <v>33</v>
      </c>
    </row>
    <row r="19" spans="3:6" x14ac:dyDescent="0.25">
      <c r="C19" t="s">
        <v>34</v>
      </c>
      <c r="D19" t="s">
        <v>51</v>
      </c>
      <c r="E19" t="s">
        <v>35</v>
      </c>
      <c r="F19" t="s">
        <v>52</v>
      </c>
    </row>
    <row r="21" spans="3:6" x14ac:dyDescent="0.25">
      <c r="C21" t="s">
        <v>37</v>
      </c>
      <c r="D21" t="s">
        <v>51</v>
      </c>
      <c r="E21" t="s">
        <v>38</v>
      </c>
      <c r="F21" t="s">
        <v>53</v>
      </c>
    </row>
    <row r="23" spans="3:6" x14ac:dyDescent="0.25">
      <c r="C23" t="s">
        <v>34</v>
      </c>
      <c r="D23" t="s">
        <v>51</v>
      </c>
      <c r="E23" t="s">
        <v>35</v>
      </c>
      <c r="F23" t="s">
        <v>52</v>
      </c>
    </row>
    <row r="25" spans="3:6" x14ac:dyDescent="0.25">
      <c r="C25" t="s">
        <v>37</v>
      </c>
      <c r="D25" t="s">
        <v>51</v>
      </c>
      <c r="E25" t="s">
        <v>38</v>
      </c>
      <c r="F25" t="s">
        <v>53</v>
      </c>
    </row>
    <row r="28" spans="3:6" x14ac:dyDescent="0.25">
      <c r="C28" t="s">
        <v>34</v>
      </c>
      <c r="D28" t="s">
        <v>39</v>
      </c>
      <c r="E28" t="s">
        <v>35</v>
      </c>
      <c r="F28" t="s">
        <v>36</v>
      </c>
    </row>
    <row r="30" spans="3:6" x14ac:dyDescent="0.25">
      <c r="C30" t="s">
        <v>37</v>
      </c>
      <c r="D30" t="s">
        <v>39</v>
      </c>
      <c r="E30" t="s">
        <v>38</v>
      </c>
      <c r="F30" t="s">
        <v>42</v>
      </c>
    </row>
    <row r="33" spans="3:15" x14ac:dyDescent="0.25">
      <c r="C33" t="s">
        <v>34</v>
      </c>
      <c r="D33" t="s">
        <v>40</v>
      </c>
      <c r="E33" t="s">
        <v>35</v>
      </c>
      <c r="F33" t="s">
        <v>36</v>
      </c>
    </row>
    <row r="35" spans="3:15" x14ac:dyDescent="0.25">
      <c r="C35" t="s">
        <v>37</v>
      </c>
      <c r="D35" t="s">
        <v>40</v>
      </c>
      <c r="E35" t="s">
        <v>38</v>
      </c>
      <c r="F35" t="s">
        <v>41</v>
      </c>
    </row>
    <row r="38" spans="3:15" x14ac:dyDescent="0.25">
      <c r="C38" t="s">
        <v>43</v>
      </c>
      <c r="F38" t="s">
        <v>38</v>
      </c>
      <c r="G38" t="s">
        <v>44</v>
      </c>
      <c r="I38" t="s">
        <v>45</v>
      </c>
      <c r="J38" t="s">
        <v>46</v>
      </c>
      <c r="L38" t="s">
        <v>47</v>
      </c>
      <c r="M38" t="s">
        <v>48</v>
      </c>
      <c r="O38" t="s">
        <v>49</v>
      </c>
    </row>
    <row r="40" spans="3:15" x14ac:dyDescent="0.25">
      <c r="G40" t="s">
        <v>50</v>
      </c>
    </row>
  </sheetData>
  <mergeCells count="1">
    <mergeCell ref="D3:J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Dimensiones de la Tabla</vt:lpstr>
      <vt:lpstr>Pagos</vt:lpstr>
      <vt:lpstr>Tablero 1 - Grabación</vt:lpstr>
      <vt:lpstr>Tablero 2 - Macro VBA</vt:lpstr>
      <vt:lpstr>Práctica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2026-07-09T21:05:53Z</dcterms:created>
  <dcterms:modified xsi:type="dcterms:W3CDTF">2026-07-09T23:01:26Z</dcterms:modified>
</cp:coreProperties>
</file>