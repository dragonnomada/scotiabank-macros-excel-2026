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ragonnomada/Documents/Curso Macros Excel 2026/Grupo 1/"/>
    </mc:Choice>
  </mc:AlternateContent>
  <xr:revisionPtr revIDLastSave="0" documentId="13_ncr:1_{4F053185-0429-8F4F-BD28-71DEEC0FEC27}" xr6:coauthVersionLast="47" xr6:coauthVersionMax="47" xr10:uidLastSave="{00000000-0000-0000-0000-000000000000}"/>
  <bookViews>
    <workbookView xWindow="0" yWindow="0" windowWidth="28800" windowHeight="18000" activeTab="3" xr2:uid="{8B057381-29F1-1247-99C9-B5C700C61D25}"/>
  </bookViews>
  <sheets>
    <sheet name="Repaso" sheetId="1" r:id="rId1"/>
    <sheet name="Arreglos" sheetId="2" r:id="rId2"/>
    <sheet name="Arreglos 2" sheetId="3" r:id="rId3"/>
    <sheet name="Matrices" sheetId="4" r:id="rId4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23" i="4" l="1"/>
  <c r="H21" i="4"/>
  <c r="E19" i="4"/>
  <c r="H17" i="4"/>
  <c r="H16" i="4"/>
  <c r="I13" i="4"/>
  <c r="G13" i="4"/>
</calcChain>
</file>

<file path=xl/sharedStrings.xml><?xml version="1.0" encoding="utf-8"?>
<sst xmlns="http://schemas.openxmlformats.org/spreadsheetml/2006/main" count="144" uniqueCount="81">
  <si>
    <t>Tableros Estático</t>
  </si>
  <si>
    <t>Tableros Dinámicos</t>
  </si>
  <si>
    <t>Total</t>
  </si>
  <si>
    <t>Suma</t>
  </si>
  <si>
    <t>Promedio</t>
  </si>
  <si>
    <t>Pagos</t>
  </si>
  <si>
    <t>Periodo</t>
  </si>
  <si>
    <t>Inicio</t>
  </si>
  <si>
    <t>Fin</t>
  </si>
  <si>
    <t>…</t>
  </si>
  <si>
    <t>Dim</t>
  </si>
  <si>
    <t>celdaA1</t>
  </si>
  <si>
    <t>As</t>
  </si>
  <si>
    <t>Range</t>
  </si>
  <si>
    <t>Set</t>
  </si>
  <si>
    <t>=</t>
  </si>
  <si>
    <t>ws.Range("A1")</t>
  </si>
  <si>
    <t>ws.Cells(1, 1)</t>
  </si>
  <si>
    <t>.Value</t>
  </si>
  <si>
    <t>.Formula</t>
  </si>
  <si>
    <t>.Formula2</t>
  </si>
  <si>
    <t>.Formula2Local</t>
  </si>
  <si>
    <t>.Formula2R1C1</t>
  </si>
  <si>
    <t>.Formula2R1C1Local</t>
  </si>
  <si>
    <t>.Row</t>
  </si>
  <si>
    <t>.Column</t>
  </si>
  <si>
    <t>.Address</t>
  </si>
  <si>
    <t>.Clear</t>
  </si>
  <si>
    <t>.ClearContents</t>
  </si>
  <si>
    <t>.End(xlToLeft)</t>
  </si>
  <si>
    <t>xlDown</t>
  </si>
  <si>
    <t>xlUp</t>
  </si>
  <si>
    <t>xlToLeft</t>
  </si>
  <si>
    <t>xlRight</t>
  </si>
  <si>
    <t>edad</t>
  </si>
  <si>
    <t>Integer</t>
  </si>
  <si>
    <t>ws.Range("A5").Value</t>
  </si>
  <si>
    <t>precio</t>
  </si>
  <si>
    <t>Double</t>
  </si>
  <si>
    <t>ws.Range("B7").Value</t>
  </si>
  <si>
    <t>Escalares</t>
  </si>
  <si>
    <t>plazos</t>
  </si>
  <si>
    <t>ws.Range("B9")</t>
  </si>
  <si>
    <t>For</t>
  </si>
  <si>
    <t>i = 1</t>
  </si>
  <si>
    <t>To</t>
  </si>
  <si>
    <t>plazo= 1</t>
  </si>
  <si>
    <t xml:space="preserve"> </t>
  </si>
  <si>
    <t>ws.Range("C" &amp; plazo).Formula = "=FECHA($F$2, $G$2, 1) + " &amp; plazo</t>
  </si>
  <si>
    <t>Arreglos</t>
  </si>
  <si>
    <t>precios(1 To 5)</t>
  </si>
  <si>
    <t>precios(3)</t>
  </si>
  <si>
    <t>precios(2)</t>
  </si>
  <si>
    <t>precios(1)</t>
  </si>
  <si>
    <t>precios(4)</t>
  </si>
  <si>
    <t>precios(5)</t>
  </si>
  <si>
    <t>sumaPrecios</t>
  </si>
  <si>
    <t>+ precios(i)</t>
  </si>
  <si>
    <t>Next i</t>
  </si>
  <si>
    <t>i</t>
  </si>
  <si>
    <t>0 + 1000</t>
  </si>
  <si>
    <t>1000 + 2000</t>
  </si>
  <si>
    <t>3000 + 1500</t>
  </si>
  <si>
    <t>4500 + 2500</t>
  </si>
  <si>
    <t>7000 + 1200</t>
  </si>
  <si>
    <t>Debug.Print</t>
  </si>
  <si>
    <t>X</t>
  </si>
  <si>
    <t>Acumulado X</t>
  </si>
  <si>
    <t>Perfil de Acum. X</t>
  </si>
  <si>
    <t>Hombres</t>
  </si>
  <si>
    <t>Mujeres</t>
  </si>
  <si>
    <t>Puesto</t>
  </si>
  <si>
    <t>A</t>
  </si>
  <si>
    <t>B</t>
  </si>
  <si>
    <t>Salario</t>
  </si>
  <si>
    <t>Alto</t>
  </si>
  <si>
    <t>Bajo</t>
  </si>
  <si>
    <t>P(Hombre | Salario Alto)</t>
  </si>
  <si>
    <t>P(Hombre ^ Salario Alto)</t>
  </si>
  <si>
    <t>P(Salario Alto)</t>
  </si>
  <si>
    <t>P(Mujer ^ Salario Alto)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</si>
</sst>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2" tint="-0.249977111117893"/>
      <name val="Aptos Narrow"/>
      <family val="2"/>
      <scheme val="minor"/>
    </font>
    <font>
      <sz val="12"/>
      <color theme="8"/>
      <name val="Aptos Narrow"/>
      <family val="2"/>
      <scheme val="minor"/>
    </font>
    <font>
      <sz val="12"/>
      <color theme="9"/>
      <name val="Aptos Narrow"/>
      <family val="2"/>
      <scheme val="minor"/>
    </font>
    <font>
      <sz val="12"/>
      <color theme="5"/>
      <name val="Aptos Narrow"/>
      <family val="2"/>
      <scheme val="minor"/>
    </font>
    <font>
      <sz val="12"/>
      <color rgb="FF7030A0"/>
      <name val="Aptos Narrow"/>
      <family val="2"/>
      <scheme val="minor"/>
    </font>
    <font>
      <b/>
      <sz val="8"/>
      <color rgb="FF000000"/>
      <name val="Aptos Narrow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44" fontId="0" fillId="0" borderId="1" xfId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/>
    <xf numFmtId="0" fontId="3" fillId="0" borderId="0" xfId="0" applyFont="1"/>
    <xf numFmtId="0" fontId="2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quotePrefix="1" applyFont="1"/>
    <xf numFmtId="1" fontId="0" fillId="0" borderId="0" xfId="0" applyNumberFormat="1" applyAlignment="1">
      <alignment horizontal="center"/>
    </xf>
    <xf numFmtId="9" fontId="0" fillId="0" borderId="0" xfId="2" applyFont="1"/>
    <xf numFmtId="9" fontId="0" fillId="0" borderId="0" xfId="0" applyNumberFormat="1"/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'Arreglos 2'!$D$4:$D$9</c:f>
              <c:numCache>
                <c:formatCode>0%</c:formatCode>
                <c:ptCount val="6"/>
                <c:pt idx="0">
                  <c:v>0.3546099290780142</c:v>
                </c:pt>
                <c:pt idx="1">
                  <c:v>0.63829787234042556</c:v>
                </c:pt>
                <c:pt idx="2">
                  <c:v>0.69148936170212771</c:v>
                </c:pt>
                <c:pt idx="3">
                  <c:v>0.78014184397163122</c:v>
                </c:pt>
                <c:pt idx="4">
                  <c:v>0.82269503546099287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75-1344-93A5-D0EBDC454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611775"/>
        <c:axId val="611609535"/>
      </c:areaChart>
      <c:catAx>
        <c:axId val="61161177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11609535"/>
        <c:crosses val="autoZero"/>
        <c:auto val="1"/>
        <c:lblAlgn val="ctr"/>
        <c:lblOffset val="100"/>
        <c:noMultiLvlLbl val="0"/>
      </c:catAx>
      <c:valAx>
        <c:axId val="611609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116117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42333</xdr:colOff>
          <xdr:row>19</xdr:row>
          <xdr:rowOff>33867</xdr:rowOff>
        </xdr:from>
        <xdr:to>
          <xdr:col>18</xdr:col>
          <xdr:colOff>740833</xdr:colOff>
          <xdr:row>21</xdr:row>
          <xdr:rowOff>8467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96F89A96-70F3-B428-D8F4-5FF0531116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Macro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98325</xdr:colOff>
          <xdr:row>1</xdr:row>
          <xdr:rowOff>198500</xdr:rowOff>
        </xdr:from>
        <xdr:to>
          <xdr:col>6</xdr:col>
          <xdr:colOff>684807</xdr:colOff>
          <xdr:row>2</xdr:row>
          <xdr:rowOff>192573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63A61384-81E2-27E5-C5C9-87A7A2A5D3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800" b="1" i="0" u="none" strike="noStrike" baseline="0">
                  <a:solidFill>
                    <a:srgbClr val="000000"/>
                  </a:solidFill>
                  <a:latin typeface="Aptos Narrow" charset="0"/>
                </a:rPr>
                <a:t>Calcular Acumulado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</xdr:row>
      <xdr:rowOff>72932</xdr:rowOff>
    </xdr:from>
    <xdr:to>
      <xdr:col>4</xdr:col>
      <xdr:colOff>101006</xdr:colOff>
      <xdr:row>23</xdr:row>
      <xdr:rowOff>8764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821BE72-EEBA-C862-B7AE-043292AFB5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2</xdr:row>
          <xdr:rowOff>50800</xdr:rowOff>
        </xdr:from>
        <xdr:to>
          <xdr:col>10</xdr:col>
          <xdr:colOff>101600</xdr:colOff>
          <xdr:row>4</xdr:row>
          <xdr:rowOff>25400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A1A69D38-87C9-1B91-B73A-1BA035213B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C0616-9CBF-AE40-B174-0928F66040FA}">
  <sheetPr codeName="Hoja1"/>
  <dimension ref="B2:H14"/>
  <sheetViews>
    <sheetView zoomScale="224" workbookViewId="0">
      <selection activeCell="C8" sqref="C8"/>
    </sheetView>
  </sheetViews>
  <sheetFormatPr baseColWidth="10" defaultRowHeight="16" x14ac:dyDescent="0.2"/>
  <cols>
    <col min="4" max="4" width="12.5" bestFit="1" customWidth="1"/>
  </cols>
  <sheetData>
    <row r="2" spans="2:8" x14ac:dyDescent="0.2">
      <c r="B2" s="6" t="s">
        <v>0</v>
      </c>
      <c r="C2" s="6"/>
      <c r="D2" s="6"/>
      <c r="F2" s="6" t="s">
        <v>1</v>
      </c>
      <c r="G2" s="6"/>
      <c r="H2" s="6"/>
    </row>
    <row r="4" spans="2:8" x14ac:dyDescent="0.2">
      <c r="B4" s="2" t="s">
        <v>2</v>
      </c>
      <c r="D4" s="2" t="s">
        <v>5</v>
      </c>
      <c r="F4" s="1" t="s">
        <v>6</v>
      </c>
      <c r="G4" s="1" t="s">
        <v>7</v>
      </c>
      <c r="H4" s="1" t="s">
        <v>8</v>
      </c>
    </row>
    <row r="5" spans="2:8" x14ac:dyDescent="0.2">
      <c r="B5" s="4">
        <v>123</v>
      </c>
      <c r="C5" s="1" t="s">
        <v>3</v>
      </c>
      <c r="D5" s="3">
        <v>456987</v>
      </c>
      <c r="G5" s="8">
        <v>45280</v>
      </c>
      <c r="H5" s="8">
        <v>45945</v>
      </c>
    </row>
    <row r="6" spans="2:8" x14ac:dyDescent="0.2">
      <c r="C6" s="1" t="s">
        <v>4</v>
      </c>
      <c r="D6" s="3">
        <v>4672</v>
      </c>
    </row>
    <row r="7" spans="2:8" x14ac:dyDescent="0.2">
      <c r="G7" s="7" t="s">
        <v>5</v>
      </c>
      <c r="H7" s="7"/>
    </row>
    <row r="8" spans="2:8" x14ac:dyDescent="0.2">
      <c r="G8" s="2" t="s">
        <v>3</v>
      </c>
      <c r="H8" s="2" t="s">
        <v>4</v>
      </c>
    </row>
    <row r="9" spans="2:8" x14ac:dyDescent="0.2">
      <c r="F9" s="2">
        <v>1</v>
      </c>
      <c r="G9" s="3">
        <v>3722</v>
      </c>
      <c r="H9" s="3">
        <v>435</v>
      </c>
    </row>
    <row r="10" spans="2:8" x14ac:dyDescent="0.2">
      <c r="F10" s="2">
        <v>2</v>
      </c>
      <c r="G10" s="3">
        <v>4937</v>
      </c>
      <c r="H10" s="3">
        <v>782</v>
      </c>
    </row>
    <row r="11" spans="2:8" x14ac:dyDescent="0.2">
      <c r="F11" s="2">
        <v>3</v>
      </c>
      <c r="G11" s="3">
        <v>1150</v>
      </c>
      <c r="H11" s="3">
        <v>812</v>
      </c>
    </row>
    <row r="12" spans="2:8" x14ac:dyDescent="0.2">
      <c r="F12" s="2" t="s">
        <v>9</v>
      </c>
      <c r="G12" s="3" t="s">
        <v>9</v>
      </c>
      <c r="H12" s="3" t="s">
        <v>9</v>
      </c>
    </row>
    <row r="13" spans="2:8" x14ac:dyDescent="0.2">
      <c r="F13" s="2">
        <v>67</v>
      </c>
      <c r="G13" s="3">
        <v>890</v>
      </c>
      <c r="H13" s="3">
        <v>784</v>
      </c>
    </row>
    <row r="14" spans="2:8" x14ac:dyDescent="0.2">
      <c r="F14" s="2">
        <v>68</v>
      </c>
      <c r="G14" s="3">
        <v>723</v>
      </c>
      <c r="H14" s="3">
        <v>616</v>
      </c>
    </row>
  </sheetData>
  <mergeCells count="3">
    <mergeCell ref="B2:D2"/>
    <mergeCell ref="F2:H2"/>
    <mergeCell ref="G7:H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AEFD8-6E57-4444-92B1-1F2054D0B7A7}">
  <sheetPr codeName="Hoja2"/>
  <dimension ref="B3:Y27"/>
  <sheetViews>
    <sheetView topLeftCell="M1" zoomScale="150" workbookViewId="0">
      <selection activeCell="R12" sqref="R12"/>
    </sheetView>
  </sheetViews>
  <sheetFormatPr baseColWidth="10" defaultRowHeight="16" x14ac:dyDescent="0.2"/>
  <cols>
    <col min="21" max="21" width="12.1640625" customWidth="1"/>
    <col min="22" max="22" width="15.1640625" customWidth="1"/>
  </cols>
  <sheetData>
    <row r="3" spans="2:25" x14ac:dyDescent="0.2">
      <c r="H3" t="s">
        <v>40</v>
      </c>
      <c r="O3" t="s">
        <v>49</v>
      </c>
    </row>
    <row r="5" spans="2:25" x14ac:dyDescent="0.2">
      <c r="O5" s="10" t="s">
        <v>10</v>
      </c>
      <c r="P5" s="10" t="s">
        <v>50</v>
      </c>
      <c r="Q5" s="10"/>
      <c r="R5" s="10" t="s">
        <v>12</v>
      </c>
      <c r="S5" s="12" t="s">
        <v>38</v>
      </c>
    </row>
    <row r="6" spans="2:25" x14ac:dyDescent="0.2">
      <c r="B6" t="s">
        <v>10</v>
      </c>
      <c r="C6" t="s">
        <v>11</v>
      </c>
      <c r="D6" t="s">
        <v>12</v>
      </c>
      <c r="E6" t="s">
        <v>13</v>
      </c>
      <c r="H6" t="s">
        <v>10</v>
      </c>
      <c r="I6" t="s">
        <v>34</v>
      </c>
      <c r="J6" t="s">
        <v>12</v>
      </c>
      <c r="K6" t="s">
        <v>35</v>
      </c>
    </row>
    <row r="7" spans="2:25" x14ac:dyDescent="0.2">
      <c r="P7" s="11" t="s">
        <v>53</v>
      </c>
      <c r="Q7" t="s">
        <v>15</v>
      </c>
      <c r="R7" s="12">
        <v>1000</v>
      </c>
    </row>
    <row r="8" spans="2:25" x14ac:dyDescent="0.2">
      <c r="B8" t="s">
        <v>14</v>
      </c>
      <c r="C8" t="s">
        <v>11</v>
      </c>
      <c r="D8" t="s">
        <v>15</v>
      </c>
      <c r="E8" t="s">
        <v>16</v>
      </c>
      <c r="I8" t="s">
        <v>34</v>
      </c>
      <c r="J8" t="s">
        <v>15</v>
      </c>
      <c r="K8" t="s">
        <v>36</v>
      </c>
      <c r="P8" s="11" t="s">
        <v>52</v>
      </c>
      <c r="Q8" t="s">
        <v>15</v>
      </c>
      <c r="R8" s="12">
        <v>2000</v>
      </c>
    </row>
    <row r="9" spans="2:25" x14ac:dyDescent="0.2">
      <c r="E9" s="9" t="s">
        <v>17</v>
      </c>
      <c r="P9" s="11" t="s">
        <v>51</v>
      </c>
      <c r="Q9" t="s">
        <v>15</v>
      </c>
      <c r="R9" s="12">
        <v>1500</v>
      </c>
    </row>
    <row r="10" spans="2:25" x14ac:dyDescent="0.2">
      <c r="P10" s="11" t="s">
        <v>54</v>
      </c>
      <c r="Q10" t="s">
        <v>15</v>
      </c>
      <c r="R10" s="12">
        <v>2500</v>
      </c>
    </row>
    <row r="11" spans="2:25" x14ac:dyDescent="0.2">
      <c r="H11" t="s">
        <v>10</v>
      </c>
      <c r="I11" t="s">
        <v>37</v>
      </c>
      <c r="J11" t="s">
        <v>12</v>
      </c>
      <c r="K11" t="s">
        <v>38</v>
      </c>
      <c r="P11" s="11" t="s">
        <v>55</v>
      </c>
      <c r="Q11" t="s">
        <v>15</v>
      </c>
      <c r="R11" s="12">
        <v>1200</v>
      </c>
      <c r="W11" t="s">
        <v>59</v>
      </c>
    </row>
    <row r="12" spans="2:25" x14ac:dyDescent="0.2">
      <c r="B12" t="s">
        <v>11</v>
      </c>
      <c r="C12" t="s">
        <v>18</v>
      </c>
      <c r="U12" t="s">
        <v>56</v>
      </c>
      <c r="V12" s="5">
        <v>0</v>
      </c>
    </row>
    <row r="13" spans="2:25" x14ac:dyDescent="0.2">
      <c r="C13" t="s">
        <v>19</v>
      </c>
      <c r="I13" t="s">
        <v>37</v>
      </c>
      <c r="J13" t="s">
        <v>15</v>
      </c>
      <c r="K13" t="s">
        <v>39</v>
      </c>
      <c r="O13" t="s">
        <v>10</v>
      </c>
      <c r="P13" t="s">
        <v>56</v>
      </c>
      <c r="R13" t="s">
        <v>12</v>
      </c>
      <c r="S13" t="s">
        <v>38</v>
      </c>
      <c r="U13" t="s">
        <v>56</v>
      </c>
      <c r="V13" s="5" t="s">
        <v>60</v>
      </c>
      <c r="W13">
        <v>1</v>
      </c>
      <c r="X13" t="s">
        <v>53</v>
      </c>
      <c r="Y13">
        <v>1000</v>
      </c>
    </row>
    <row r="14" spans="2:25" x14ac:dyDescent="0.2">
      <c r="C14" t="s">
        <v>20</v>
      </c>
      <c r="U14" t="s">
        <v>56</v>
      </c>
      <c r="V14" s="5" t="s">
        <v>61</v>
      </c>
      <c r="W14">
        <v>2</v>
      </c>
      <c r="X14" t="s">
        <v>52</v>
      </c>
      <c r="Y14">
        <v>2000</v>
      </c>
    </row>
    <row r="15" spans="2:25" x14ac:dyDescent="0.2">
      <c r="C15" t="s">
        <v>21</v>
      </c>
      <c r="P15" t="s">
        <v>56</v>
      </c>
      <c r="Q15" t="s">
        <v>15</v>
      </c>
      <c r="R15">
        <v>0</v>
      </c>
      <c r="U15" t="s">
        <v>56</v>
      </c>
      <c r="V15" s="5" t="s">
        <v>62</v>
      </c>
      <c r="W15">
        <v>3</v>
      </c>
      <c r="X15" t="s">
        <v>51</v>
      </c>
      <c r="Y15">
        <v>1500</v>
      </c>
    </row>
    <row r="16" spans="2:25" x14ac:dyDescent="0.2">
      <c r="C16" t="s">
        <v>22</v>
      </c>
      <c r="H16" t="s">
        <v>10</v>
      </c>
      <c r="I16" t="s">
        <v>41</v>
      </c>
      <c r="J16" t="s">
        <v>12</v>
      </c>
      <c r="K16" t="s">
        <v>35</v>
      </c>
      <c r="U16" t="s">
        <v>56</v>
      </c>
      <c r="V16" s="5" t="s">
        <v>63</v>
      </c>
      <c r="W16">
        <v>4</v>
      </c>
      <c r="X16" t="s">
        <v>54</v>
      </c>
      <c r="Y16">
        <v>2500</v>
      </c>
    </row>
    <row r="17" spans="3:25" x14ac:dyDescent="0.2">
      <c r="C17" t="s">
        <v>23</v>
      </c>
      <c r="O17" s="13" t="s">
        <v>43</v>
      </c>
      <c r="P17" s="13" t="s">
        <v>44</v>
      </c>
      <c r="Q17" s="13" t="s">
        <v>45</v>
      </c>
      <c r="R17" s="13">
        <v>5</v>
      </c>
      <c r="U17" t="s">
        <v>56</v>
      </c>
      <c r="V17" s="5" t="s">
        <v>64</v>
      </c>
      <c r="W17">
        <v>5</v>
      </c>
      <c r="X17" t="s">
        <v>55</v>
      </c>
      <c r="Y17">
        <v>1200</v>
      </c>
    </row>
    <row r="18" spans="3:25" x14ac:dyDescent="0.2">
      <c r="C18" t="s">
        <v>24</v>
      </c>
      <c r="I18" t="s">
        <v>41</v>
      </c>
      <c r="J18" t="s">
        <v>15</v>
      </c>
      <c r="K18" t="s">
        <v>42</v>
      </c>
      <c r="P18" t="s">
        <v>56</v>
      </c>
      <c r="Q18" t="s">
        <v>15</v>
      </c>
      <c r="R18" t="s">
        <v>56</v>
      </c>
      <c r="S18" s="14" t="s">
        <v>57</v>
      </c>
      <c r="U18" t="s">
        <v>56</v>
      </c>
      <c r="V18" s="5">
        <v>8200</v>
      </c>
    </row>
    <row r="19" spans="3:25" x14ac:dyDescent="0.2">
      <c r="C19" t="s">
        <v>25</v>
      </c>
      <c r="O19" s="13" t="s">
        <v>58</v>
      </c>
    </row>
    <row r="20" spans="3:25" x14ac:dyDescent="0.2">
      <c r="C20" t="s">
        <v>26</v>
      </c>
    </row>
    <row r="21" spans="3:25" x14ac:dyDescent="0.2">
      <c r="C21" t="s">
        <v>27</v>
      </c>
      <c r="H21" t="s">
        <v>43</v>
      </c>
      <c r="I21" t="s">
        <v>46</v>
      </c>
      <c r="J21" t="s">
        <v>45</v>
      </c>
      <c r="K21" t="s">
        <v>41</v>
      </c>
      <c r="O21" t="s">
        <v>65</v>
      </c>
      <c r="P21" t="s">
        <v>56</v>
      </c>
    </row>
    <row r="22" spans="3:25" x14ac:dyDescent="0.2">
      <c r="C22" t="s">
        <v>28</v>
      </c>
      <c r="I22" t="s">
        <v>48</v>
      </c>
    </row>
    <row r="23" spans="3:25" x14ac:dyDescent="0.2">
      <c r="C23" t="s">
        <v>29</v>
      </c>
      <c r="I23" t="s">
        <v>47</v>
      </c>
    </row>
    <row r="24" spans="3:25" x14ac:dyDescent="0.2">
      <c r="D24" t="s">
        <v>30</v>
      </c>
    </row>
    <row r="25" spans="3:25" x14ac:dyDescent="0.2">
      <c r="D25" t="s">
        <v>31</v>
      </c>
    </row>
    <row r="26" spans="3:25" x14ac:dyDescent="0.2">
      <c r="D26" t="s">
        <v>32</v>
      </c>
    </row>
    <row r="27" spans="3:25" x14ac:dyDescent="0.2">
      <c r="D27" t="s">
        <v>33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Macro1">
                <anchor moveWithCells="1" sizeWithCells="1">
                  <from>
                    <xdr:col>17</xdr:col>
                    <xdr:colOff>38100</xdr:colOff>
                    <xdr:row>19</xdr:row>
                    <xdr:rowOff>38100</xdr:rowOff>
                  </from>
                  <to>
                    <xdr:col>18</xdr:col>
                    <xdr:colOff>736600</xdr:colOff>
                    <xdr:row>21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D7AD5-EA52-5542-B02A-1E87B03B29BF}">
  <sheetPr codeName="Hoja3"/>
  <dimension ref="B3:E9"/>
  <sheetViews>
    <sheetView zoomScale="171" workbookViewId="0">
      <selection activeCell="E13" sqref="E13"/>
    </sheetView>
  </sheetViews>
  <sheetFormatPr baseColWidth="10" defaultRowHeight="16" x14ac:dyDescent="0.2"/>
  <cols>
    <col min="2" max="2" width="12.5" customWidth="1"/>
    <col min="3" max="3" width="15.1640625" customWidth="1"/>
    <col min="4" max="4" width="20.1640625" customWidth="1"/>
  </cols>
  <sheetData>
    <row r="3" spans="2:5" x14ac:dyDescent="0.2">
      <c r="B3" s="5" t="s">
        <v>66</v>
      </c>
      <c r="C3" s="5" t="s">
        <v>67</v>
      </c>
      <c r="D3" t="s">
        <v>68</v>
      </c>
    </row>
    <row r="4" spans="2:5" x14ac:dyDescent="0.2">
      <c r="B4" s="15">
        <v>10000</v>
      </c>
      <c r="C4" s="5">
        <v>10000</v>
      </c>
      <c r="D4" s="16">
        <v>0.3546099290780142</v>
      </c>
    </row>
    <row r="5" spans="2:5" x14ac:dyDescent="0.2">
      <c r="B5" s="15">
        <v>8000</v>
      </c>
      <c r="C5" s="5">
        <v>18000</v>
      </c>
      <c r="D5" s="16">
        <v>0.63829787234042556</v>
      </c>
      <c r="E5" s="17"/>
    </row>
    <row r="6" spans="2:5" x14ac:dyDescent="0.2">
      <c r="B6" s="15">
        <v>1500</v>
      </c>
      <c r="C6" s="5">
        <v>19500</v>
      </c>
      <c r="D6" s="16">
        <v>0.69148936170212771</v>
      </c>
      <c r="E6" s="17"/>
    </row>
    <row r="7" spans="2:5" x14ac:dyDescent="0.2">
      <c r="B7" s="15">
        <v>2500</v>
      </c>
      <c r="C7" s="5">
        <v>22000</v>
      </c>
      <c r="D7" s="16">
        <v>0.78014184397163122</v>
      </c>
      <c r="E7" s="17"/>
    </row>
    <row r="8" spans="2:5" x14ac:dyDescent="0.2">
      <c r="B8" s="15">
        <v>1200</v>
      </c>
      <c r="C8" s="5">
        <v>23200</v>
      </c>
      <c r="D8" s="16">
        <v>0.82269503546099287</v>
      </c>
      <c r="E8" s="17"/>
    </row>
    <row r="9" spans="2:5" x14ac:dyDescent="0.2">
      <c r="B9" s="15">
        <v>5000</v>
      </c>
      <c r="C9" s="5">
        <v>28200</v>
      </c>
      <c r="D9" s="16">
        <v>1</v>
      </c>
      <c r="E9" s="1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Macro2">
                <anchor moveWithCells="1" sizeWithCells="1">
                  <from>
                    <xdr:col>4</xdr:col>
                    <xdr:colOff>101600</xdr:colOff>
                    <xdr:row>1</xdr:row>
                    <xdr:rowOff>203200</xdr:rowOff>
                  </from>
                  <to>
                    <xdr:col>6</xdr:col>
                    <xdr:colOff>685800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86672-2EC0-954F-9CB1-54DB1938538C}">
  <sheetPr codeName="Hoja4"/>
  <dimension ref="C2:I23"/>
  <sheetViews>
    <sheetView tabSelected="1" zoomScale="142" workbookViewId="0">
      <selection activeCell="C3" sqref="C3"/>
    </sheetView>
  </sheetViews>
  <sheetFormatPr baseColWidth="10" defaultRowHeight="16" x14ac:dyDescent="0.2"/>
  <cols>
    <col min="5" max="5" width="20.5" bestFit="1" customWidth="1"/>
  </cols>
  <sheetData>
    <row r="2" spans="3:9" x14ac:dyDescent="0.2">
      <c r="D2" s="6" t="s">
        <v>71</v>
      </c>
      <c r="E2" s="6"/>
      <c r="F2" s="6"/>
      <c r="G2" s="6"/>
    </row>
    <row r="3" spans="3:9" x14ac:dyDescent="0.2">
      <c r="D3" s="6" t="s">
        <v>72</v>
      </c>
      <c r="E3" s="6"/>
      <c r="F3" s="6" t="s">
        <v>73</v>
      </c>
      <c r="G3" s="6"/>
    </row>
    <row r="4" spans="3:9" x14ac:dyDescent="0.2">
      <c r="D4" s="6" t="s">
        <v>74</v>
      </c>
      <c r="E4" s="6"/>
      <c r="F4" s="6" t="s">
        <v>74</v>
      </c>
      <c r="G4" s="6"/>
    </row>
    <row r="5" spans="3:9" x14ac:dyDescent="0.2">
      <c r="D5" s="5" t="s">
        <v>75</v>
      </c>
      <c r="E5" s="5" t="s">
        <v>76</v>
      </c>
      <c r="F5" s="5" t="s">
        <v>75</v>
      </c>
      <c r="G5" s="5" t="s">
        <v>76</v>
      </c>
    </row>
    <row r="6" spans="3:9" x14ac:dyDescent="0.2">
      <c r="C6" t="s">
        <v>69</v>
      </c>
      <c r="D6" s="5">
        <v>60</v>
      </c>
      <c r="E6" s="5">
        <v>25</v>
      </c>
      <c r="F6" s="5">
        <v>14</v>
      </c>
      <c r="G6" s="5">
        <v>78</v>
      </c>
    </row>
    <row r="7" spans="3:9" x14ac:dyDescent="0.2">
      <c r="C7" t="s">
        <v>70</v>
      </c>
      <c r="D7" s="5">
        <v>32</v>
      </c>
      <c r="E7" s="5">
        <v>16</v>
      </c>
      <c r="F7" s="5">
        <v>32</v>
      </c>
      <c r="G7" s="5">
        <v>29</v>
      </c>
    </row>
    <row r="9" spans="3:9" x14ac:dyDescent="0.2">
      <c r="D9" s="6" t="s">
        <v>71</v>
      </c>
      <c r="E9" s="6"/>
      <c r="G9" s="6" t="s">
        <v>74</v>
      </c>
      <c r="H9" s="6"/>
    </row>
    <row r="10" spans="3:9" x14ac:dyDescent="0.2">
      <c r="D10" s="5" t="s">
        <v>72</v>
      </c>
      <c r="E10" s="5" t="s">
        <v>73</v>
      </c>
      <c r="G10" s="5" t="s">
        <v>75</v>
      </c>
      <c r="H10" s="5" t="s">
        <v>76</v>
      </c>
    </row>
    <row r="11" spans="3:9" x14ac:dyDescent="0.2">
      <c r="C11" t="s">
        <v>69</v>
      </c>
      <c r="D11" s="5">
        <v>85</v>
      </c>
      <c r="E11" s="5">
        <v>92</v>
      </c>
      <c r="G11" s="5">
        <v>74</v>
      </c>
      <c r="H11" s="5">
        <v>103</v>
      </c>
    </row>
    <row r="12" spans="3:9" x14ac:dyDescent="0.2">
      <c r="C12" t="s">
        <v>70</v>
      </c>
      <c r="D12" s="5">
        <v>48</v>
      </c>
      <c r="E12" s="5">
        <v>61</v>
      </c>
      <c r="G12" s="5">
        <v>64</v>
      </c>
      <c r="H12" s="5">
        <v>45</v>
      </c>
    </row>
    <row r="13" spans="3:9" x14ac:dyDescent="0.2">
      <c r="G13" s="5">
        <f>SUM(G11:G12)</f>
        <v>138</v>
      </c>
      <c r="I13">
        <f>SUM(G11:H12)</f>
        <v>286</v>
      </c>
    </row>
    <row r="14" spans="3:9" x14ac:dyDescent="0.2">
      <c r="D14" t="s">
        <v>77</v>
      </c>
    </row>
    <row r="16" spans="3:9" x14ac:dyDescent="0.2">
      <c r="E16" t="s">
        <v>78</v>
      </c>
      <c r="H16" s="16">
        <f>G11/I13</f>
        <v>0.25874125874125875</v>
      </c>
    </row>
    <row r="17" spans="5:8" x14ac:dyDescent="0.2">
      <c r="E17" t="s">
        <v>79</v>
      </c>
      <c r="H17" s="16">
        <f>G13/I13</f>
        <v>0.4825174825174825</v>
      </c>
    </row>
    <row r="19" spans="5:8" x14ac:dyDescent="0.2">
      <c r="E19" s="16">
        <f>H16/H17</f>
        <v>0.53623188405797106</v>
      </c>
    </row>
    <row r="21" spans="5:8" x14ac:dyDescent="0.2">
      <c r="E21" t="s">
        <v>80</v>
      </c>
      <c r="H21" s="16">
        <f>G12/I13</f>
        <v>0.22377622377622378</v>
      </c>
    </row>
    <row r="23" spans="5:8" x14ac:dyDescent="0.2">
      <c r="E23" s="16">
        <f>H21/H17</f>
        <v>0.46376811594202899</v>
      </c>
    </row>
  </sheetData>
  <mergeCells count="7">
    <mergeCell ref="F4:G4"/>
    <mergeCell ref="D4:E4"/>
    <mergeCell ref="D2:G2"/>
    <mergeCell ref="D3:E3"/>
    <mergeCell ref="F3:G3"/>
    <mergeCell ref="D9:E9"/>
    <mergeCell ref="G9:H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acro3">
                <anchor moveWithCells="1" sizeWithCells="1">
                  <from>
                    <xdr:col>8</xdr:col>
                    <xdr:colOff>228600</xdr:colOff>
                    <xdr:row>2</xdr:row>
                    <xdr:rowOff>50800</xdr:rowOff>
                  </from>
                  <to>
                    <xdr:col>10</xdr:col>
                    <xdr:colOff>101600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Repaso</vt:lpstr>
      <vt:lpstr>Arreglos</vt:lpstr>
      <vt:lpstr>Arreglos 2</vt:lpstr>
      <vt:lpstr>Matrices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Badillo Salas</dc:creator>
  <cp:lastModifiedBy>Alan Badillo Salas</cp:lastModifiedBy>
  <dcterms:created xsi:type="dcterms:W3CDTF">2026-07-20T21:09:32Z</dcterms:created>
  <dcterms:modified xsi:type="dcterms:W3CDTF">2026-07-20T23:13:19Z</dcterms:modified>
</cp:coreProperties>
</file>