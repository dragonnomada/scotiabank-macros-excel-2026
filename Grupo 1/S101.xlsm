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Curso Macros Excel - Scotiabank 2026\"/>
    </mc:Choice>
  </mc:AlternateContent>
  <xr:revisionPtr revIDLastSave="0" documentId="13_ncr:1_{BB5E0339-25FD-4C94-8FB4-6BBA0AAB1A95}" xr6:coauthVersionLast="47" xr6:coauthVersionMax="47" xr10:uidLastSave="{00000000-0000-0000-0000-000000000000}"/>
  <bookViews>
    <workbookView xWindow="-120" yWindow="-120" windowWidth="29040" windowHeight="15720" activeTab="4" xr2:uid="{077F25A9-77F9-4927-B48A-23D6E26FC677}"/>
  </bookViews>
  <sheets>
    <sheet name="Direcciones y Rangos" sheetId="1" r:id="rId1"/>
    <sheet name="Ejemplo 1" sheetId="2" r:id="rId2"/>
    <sheet name="Proyecciones" sheetId="3" r:id="rId3"/>
    <sheet name="Buscar" sheetId="4" r:id="rId4"/>
    <sheet name="Filtrar" sheetId="5" r:id="rId5"/>
  </sheets>
  <definedNames>
    <definedName name="_xleta.LOOKUP" hidden="1" xlm="1">#NAME?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J18" i="5" l="1" a="1"/>
  <c r="J18" i="5" s="1"/>
  <c r="J17" i="5" a="1"/>
  <c r="J17" i="5" s="1"/>
  <c r="J15" i="5" a="1"/>
  <c r="J15" i="5" s="1"/>
  <c r="K14" i="5" a="1"/>
  <c r="K14" i="5" s="1"/>
  <c r="I11" i="5" a="1"/>
  <c r="I11" i="5" s="1"/>
  <c r="C7" i="5" a="1"/>
  <c r="C7" i="5" s="1"/>
  <c r="B6" i="4" a="1"/>
  <c r="B6" i="4" s="1"/>
  <c r="C6" i="5" a="1"/>
  <c r="C6" i="5" s="1"/>
  <c r="B34" i="4"/>
  <c r="C34" i="4"/>
  <c r="B21" i="4"/>
  <c r="B19" i="4"/>
  <c r="B5" i="4" a="1"/>
  <c r="B5" i="4" s="1"/>
  <c r="B3" i="4"/>
  <c r="B17" i="3" a="1"/>
  <c r="B17" i="3" s="1"/>
  <c r="B22" i="3" s="1" a="1"/>
  <c r="B22" i="3" s="1"/>
  <c r="B27" i="3" s="1" a="1"/>
  <c r="B27" i="3" s="1"/>
  <c r="B15" i="3" a="1"/>
  <c r="B15" i="3" s="1"/>
  <c r="B11" i="3"/>
  <c r="C9" i="3"/>
  <c r="C3" i="3"/>
  <c r="B35" i="4" l="1"/>
  <c r="C35" i="4"/>
  <c r="B15" i="4"/>
  <c r="B28" i="4"/>
  <c r="I9" i="5" a="1"/>
  <c r="I9" i="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<sst xmlns="http://schemas.openxmlformats.org/spreadsheetml/2006/main" count="115" uniqueCount="101">
  <si>
    <t>E4</t>
  </si>
  <si>
    <t>F4</t>
  </si>
  <si>
    <t>E5</t>
  </si>
  <si>
    <t>F5</t>
  </si>
  <si>
    <t>Dirección de la celda o el origen de un rango</t>
  </si>
  <si>
    <t>COLUMNA</t>
  </si>
  <si>
    <t>FILA</t>
  </si>
  <si>
    <t>A-Z ... AA AB … ZA … ZZ AAA AAB … XAA … XFD</t>
  </si>
  <si>
    <t>1 2 3 … 100 … 1048576</t>
  </si>
  <si>
    <t>Rango de celdas</t>
  </si>
  <si>
    <t>D12</t>
  </si>
  <si>
    <t>F14</t>
  </si>
  <si>
    <t>Rango columna</t>
  </si>
  <si>
    <t>Rango fila</t>
  </si>
  <si>
    <t>D18</t>
  </si>
  <si>
    <t>D21</t>
  </si>
  <si>
    <t>F18</t>
  </si>
  <si>
    <t>H18</t>
  </si>
  <si>
    <t>$D</t>
  </si>
  <si>
    <t>$18</t>
  </si>
  <si>
    <t>Rango matriz</t>
  </si>
  <si>
    <t>Notación doble / dual</t>
  </si>
  <si>
    <t>F22</t>
  </si>
  <si>
    <t>:</t>
  </si>
  <si>
    <t>H22</t>
  </si>
  <si>
    <t>Productos</t>
  </si>
  <si>
    <t>Clave</t>
  </si>
  <si>
    <t>Nombre</t>
  </si>
  <si>
    <t>Precio</t>
  </si>
  <si>
    <t>Indice</t>
  </si>
  <si>
    <t>A</t>
  </si>
  <si>
    <t>B</t>
  </si>
  <si>
    <t>C</t>
  </si>
  <si>
    <t>D</t>
  </si>
  <si>
    <t>X</t>
  </si>
  <si>
    <t>Y</t>
  </si>
  <si>
    <t>Z</t>
  </si>
  <si>
    <t>W</t>
  </si>
  <si>
    <t>Computadora Toshiba AMD Rayzen 7 512GB / 8GB</t>
  </si>
  <si>
    <t>Impresora HP Inject 550u 30ppm</t>
  </si>
  <si>
    <t>Portalapices de 24 unidades</t>
  </si>
  <si>
    <t>Paquete de hojas blancas 500u</t>
  </si>
  <si>
    <t>Juego de lapiceros tinta negra punto fino</t>
  </si>
  <si>
    <t>Escritorio de madera 2 islas con gabinete superior</t>
  </si>
  <si>
    <t>Silla ejecutiva NK18F</t>
  </si>
  <si>
    <t>Lámpara de luz blanca 12L para escritorio</t>
  </si>
  <si>
    <t>Ubicar la dirección de celda de los siguientes valores</t>
  </si>
  <si>
    <t>D9</t>
  </si>
  <si>
    <t>Nombre del juego de lapiceros</t>
  </si>
  <si>
    <t>Precio del escritorio de madera</t>
  </si>
  <si>
    <t>E10</t>
  </si>
  <si>
    <t>Clave de la silla ejecutiva</t>
  </si>
  <si>
    <t>C11</t>
  </si>
  <si>
    <t>Índice de la impresora HP</t>
  </si>
  <si>
    <t>B6</t>
  </si>
  <si>
    <t>Ubicar los rangos de los siguientes valores</t>
  </si>
  <si>
    <t>Todos los nombres de productos</t>
  </si>
  <si>
    <t>D5:D12</t>
  </si>
  <si>
    <t>Los primeros 5 precios</t>
  </si>
  <si>
    <t>E5:E9</t>
  </si>
  <si>
    <t>C7:C10</t>
  </si>
  <si>
    <t>Todos los registros asociados a los productos desde la clave C a la X</t>
  </si>
  <si>
    <t>Nota: Un registro hace referencia a todas las columnas expuestas sobre la misma fila</t>
  </si>
  <si>
    <t>B7:E10</t>
  </si>
  <si>
    <t>Todas claves desde la clave C a la X</t>
  </si>
  <si>
    <t>Ubicar el rango indirecto de una matriz</t>
  </si>
  <si>
    <t>De la matriz C6:E10 el rango de la tercera columna</t>
  </si>
  <si>
    <t>E</t>
  </si>
  <si>
    <t>E6:E10</t>
  </si>
  <si>
    <t>VALOR</t>
  </si>
  <si>
    <t>FÓRMULA</t>
  </si>
  <si>
    <t>2+2</t>
  </si>
  <si>
    <t>=</t>
  </si>
  <si>
    <t>Celda calculada</t>
  </si>
  <si>
    <t>El valor que toma una celda es el resultado de una fórmula</t>
  </si>
  <si>
    <t>Por defecto Excel tiene habilitado el auto-cálculo de celdas (actualización automática)</t>
  </si>
  <si>
    <t>B3</t>
  </si>
  <si>
    <t xml:space="preserve">Hola </t>
  </si>
  <si>
    <t>mundo</t>
  </si>
  <si>
    <t>Proyección de un rango valores (vector fila / columna o matriz)</t>
  </si>
  <si>
    <t>Proyección de direcciones de otra hoja</t>
  </si>
  <si>
    <t>'Nombre de la hoja' ! [Dirección de la celda / rango]</t>
  </si>
  <si>
    <t>Proyección de un único valor mediante la dirección de la celda (referencia)</t>
  </si>
  <si>
    <t>Reproyección del rango</t>
  </si>
  <si>
    <t>Valor que estorba</t>
  </si>
  <si>
    <t>Una proyección requiere que el espacio donde se proyecta esté vació</t>
  </si>
  <si>
    <t>Si el valor no es numérico entonces se debe usar un "texto entrecomillado"</t>
  </si>
  <si>
    <t>Buscar encuentra un valor dentro de una columna o matriz y devuelve el valor con la posición de la columna o matriz de resultado</t>
  </si>
  <si>
    <t>BUSCAR("D"; C6:C13; C6:C13)</t>
  </si>
  <si>
    <t>La posición encontrada es el valor inferior más próximo que se haya ubicado hasta ahora, sino devolverá un error de búsqueda</t>
  </si>
  <si>
    <t>BUSCAR("D"; C6:C13; E6:E13)</t>
  </si>
  <si>
    <t>¿Cuál es la clave?</t>
  </si>
  <si>
    <t>Resultado de la búsqueda</t>
  </si>
  <si>
    <t>Si el valor no se encuentra ni hay próximos inferiores, entonces se generará un error de tipo #N/D</t>
  </si>
  <si>
    <t>F</t>
  </si>
  <si>
    <t>En la búsqueda no podemos devolver matrices como resultado, solo columnas</t>
  </si>
  <si>
    <t>G</t>
  </si>
  <si>
    <t>Búsqueda exacta horizontal y vetical</t>
  </si>
  <si>
    <t>Buscar V busca el valor sobre una columna vertical, y la primera coincidencia la devuelve de la columna indicada</t>
  </si>
  <si>
    <t>Con la coincidencia exacta se devuelve siempre #N/D si no se encuentra</t>
  </si>
  <si>
    <t>Índice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</si>
</sst>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XDR&quot;* #,##0.00_-;\-&quot;XDR&quot;* #,##0.00_-;_-&quot;XDR&quot;* &quot;-&quot;??_-;_-@_-"/>
    <numFmt numFmtId="164" formatCode="_-[$$-80A]* #,##0.00_-;\-[$$-80A]* #,##0.00_-;_-[$$-80A]* &quot;-&quot;??_-;_-@_-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8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1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2" applyNumberFormat="0" applyAlignment="0" applyProtection="0"/>
    <xf numFmtId="0" fontId="6" fillId="5" borderId="1" applyNumberFormat="0" applyAlignment="0" applyProtection="0"/>
    <xf numFmtId="0" fontId="1" fillId="6" borderId="3" applyNumberFormat="0" applyFont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</cellStyleXfs>
  <cellXfs count="63">
    <xf numFmtId="0" fontId="0" fillId="0" borderId="0" xfId="0"/>
    <xf numFmtId="0" fontId="0" fillId="0" borderId="0" xfId="0" applyAlignment="1">
      <alignment horizontal="center"/>
    </xf>
    <xf numFmtId="0" fontId="4" fillId="4" borderId="0" xfId="4" applyAlignment="1">
      <alignment horizontal="center"/>
    </xf>
    <xf numFmtId="0" fontId="0" fillId="6" borderId="3" xfId="7" applyFont="1"/>
    <xf numFmtId="0" fontId="0" fillId="6" borderId="4" xfId="7" applyFont="1" applyBorder="1" applyAlignment="1">
      <alignment horizontal="center"/>
    </xf>
    <xf numFmtId="0" fontId="0" fillId="6" borderId="5" xfId="7" applyFont="1" applyBorder="1" applyAlignment="1">
      <alignment horizontal="center"/>
    </xf>
    <xf numFmtId="0" fontId="0" fillId="6" borderId="6" xfId="7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2" borderId="8" xfId="2" applyBorder="1"/>
    <xf numFmtId="0" fontId="3" fillId="3" borderId="15" xfId="3" applyBorder="1"/>
    <xf numFmtId="0" fontId="0" fillId="0" borderId="17" xfId="0" applyBorder="1"/>
    <xf numFmtId="0" fontId="2" fillId="2" borderId="16" xfId="2" applyBorder="1"/>
    <xf numFmtId="0" fontId="3" fillId="3" borderId="18" xfId="3" applyBorder="1"/>
    <xf numFmtId="0" fontId="0" fillId="0" borderId="20" xfId="0" applyBorder="1"/>
    <xf numFmtId="0" fontId="2" fillId="2" borderId="19" xfId="2" applyBorder="1"/>
    <xf numFmtId="0" fontId="3" fillId="3" borderId="21" xfId="3" applyBorder="1"/>
    <xf numFmtId="0" fontId="4" fillId="4" borderId="0" xfId="4"/>
    <xf numFmtId="0" fontId="5" fillId="5" borderId="2" xfId="5"/>
    <xf numFmtId="0" fontId="5" fillId="5" borderId="22" xfId="5" applyBorder="1" applyAlignment="1">
      <alignment horizontal="center"/>
    </xf>
    <xf numFmtId="0" fontId="5" fillId="5" borderId="23" xfId="5" applyBorder="1" applyAlignment="1">
      <alignment horizontal="center"/>
    </xf>
    <xf numFmtId="0" fontId="5" fillId="5" borderId="24" xfId="5" applyBorder="1" applyAlignment="1">
      <alignment horizontal="center"/>
    </xf>
    <xf numFmtId="0" fontId="1" fillId="9" borderId="0" xfId="1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10" borderId="0" xfId="0" applyFill="1" applyAlignment="1">
      <alignment horizontal="center" vertical="center"/>
    </xf>
    <xf numFmtId="0" fontId="1" fillId="7" borderId="7" xfId="8" applyBorder="1" applyAlignment="1">
      <alignment horizontal="center"/>
    </xf>
    <xf numFmtId="0" fontId="1" fillId="8" borderId="0" xfId="9"/>
    <xf numFmtId="0" fontId="0" fillId="11" borderId="0" xfId="0" applyFill="1"/>
    <xf numFmtId="0" fontId="0" fillId="0" borderId="0" xfId="0" applyAlignment="1">
      <alignment horizontal="left" wrapText="1"/>
    </xf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13" borderId="0" xfId="0" applyFill="1"/>
    <xf numFmtId="0" fontId="0" fillId="14" borderId="0" xfId="0" applyFill="1"/>
    <xf numFmtId="0" fontId="8" fillId="0" borderId="0" xfId="0" applyFont="1"/>
    <xf numFmtId="0" fontId="6" fillId="5" borderId="1" xfId="6"/>
    <xf numFmtId="0" fontId="7" fillId="0" borderId="0" xfId="0" applyFont="1"/>
    <xf numFmtId="0" fontId="0" fillId="0" borderId="0" xfId="0" quotePrefix="1"/>
    <xf numFmtId="0" fontId="7" fillId="14" borderId="0" xfId="0" applyFont="1" applyFill="1"/>
    <xf numFmtId="0" fontId="9" fillId="14" borderId="0" xfId="0" applyFont="1" applyFill="1"/>
    <xf numFmtId="0" fontId="6" fillId="5" borderId="1" xfId="6" applyAlignment="1">
      <alignment horizontal="center" vertical="center" wrapText="1"/>
    </xf>
    <xf numFmtId="0" fontId="0" fillId="15" borderId="0" xfId="0" applyFill="1"/>
    <xf numFmtId="0" fontId="0" fillId="0" borderId="0" xfId="0" applyAlignment="1"/>
    <xf numFmtId="164" fontId="0" fillId="0" borderId="0" xfId="0" applyNumberFormat="1"/>
    <xf numFmtId="0" fontId="0" fillId="16" borderId="0" xfId="0" applyFill="1"/>
    <xf numFmtId="0" fontId="0" fillId="12" borderId="0" xfId="0" applyFill="1"/>
    <xf numFmtId="164" fontId="0" fillId="10" borderId="0" xfId="0" applyNumberFormat="1" applyFill="1"/>
    <xf numFmtId="164" fontId="0" fillId="17" borderId="0" xfId="0" applyNumberFormat="1" applyFill="1"/>
    <xf numFmtId="164" fontId="0" fillId="17" borderId="0" xfId="1" applyNumberFormat="1" applyFont="1" applyFill="1"/>
    <xf numFmtId="0" fontId="0" fillId="18" borderId="0" xfId="0" applyFill="1"/>
    <xf numFmtId="0" fontId="0" fillId="19" borderId="0" xfId="0" applyFill="1" applyAlignment="1">
      <alignment horizontal="center"/>
    </xf>
    <xf numFmtId="0" fontId="0" fillId="20" borderId="0" xfId="0" applyFill="1" applyAlignment="1">
      <alignment horizontal="center"/>
    </xf>
    <xf numFmtId="164" fontId="0" fillId="13" borderId="0" xfId="0" applyNumberFormat="1" applyFill="1"/>
    <xf numFmtId="0" fontId="6" fillId="5" borderId="25" xfId="6" applyBorder="1" applyAlignment="1">
      <alignment horizontal="center"/>
    </xf>
    <xf numFmtId="0" fontId="6" fillId="5" borderId="26" xfId="6" applyBorder="1" applyAlignment="1">
      <alignment horizontal="center"/>
    </xf>
    <xf numFmtId="0" fontId="6" fillId="5" borderId="27" xfId="6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Font="1"/>
  </cellXfs>
  <cellStyles count="11">
    <cellStyle name="20% - Énfasis2" xfId="8" builtinId="34"/>
    <cellStyle name="20% - Énfasis4" xfId="9" builtinId="42"/>
    <cellStyle name="20% - Énfasis5" xfId="10" builtinId="46"/>
    <cellStyle name="Bueno" xfId="2" builtinId="26"/>
    <cellStyle name="Cálculo" xfId="6" builtinId="22"/>
    <cellStyle name="Incorrecto" xfId="3" builtinId="27"/>
    <cellStyle name="Moneda" xfId="1" builtinId="4"/>
    <cellStyle name="Neutral" xfId="4" builtinId="28"/>
    <cellStyle name="Normal" xfId="0" builtinId="0"/>
    <cellStyle name="Notas" xfId="7" builtinId="10"/>
    <cellStyle name="Salida" xfId="5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3</v>
    <v>8</v>
    <v>3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7E903-AE05-4ABB-844E-7ECEFF17E2D5}">
  <dimension ref="C3:I22"/>
  <sheetViews>
    <sheetView topLeftCell="A13" zoomScale="205" zoomScaleNormal="205" workbookViewId="0">
      <selection activeCell="C24" sqref="C24"/>
    </sheetView>
  </sheetViews>
  <sheetFormatPr baseColWidth="10" defaultRowHeight="15" x14ac:dyDescent="0.25"/>
  <cols>
    <col min="3" max="3" width="11.42578125" customWidth="1"/>
    <col min="4" max="4" width="14.140625" customWidth="1"/>
  </cols>
  <sheetData>
    <row r="3" spans="3:9" x14ac:dyDescent="0.25">
      <c r="C3" s="2" t="s">
        <v>4</v>
      </c>
      <c r="D3" s="2"/>
      <c r="E3" s="2"/>
      <c r="F3" s="2"/>
    </row>
    <row r="4" spans="3:9" x14ac:dyDescent="0.25">
      <c r="E4" t="s">
        <v>0</v>
      </c>
      <c r="F4" t="s">
        <v>1</v>
      </c>
    </row>
    <row r="5" spans="3:9" x14ac:dyDescent="0.25">
      <c r="E5" t="s">
        <v>2</v>
      </c>
      <c r="F5" t="s">
        <v>3</v>
      </c>
    </row>
    <row r="7" spans="3:9" x14ac:dyDescent="0.25">
      <c r="D7" t="s">
        <v>5</v>
      </c>
      <c r="E7" t="s">
        <v>7</v>
      </c>
    </row>
    <row r="8" spans="3:9" x14ac:dyDescent="0.25">
      <c r="D8" t="s">
        <v>6</v>
      </c>
      <c r="E8" t="s">
        <v>8</v>
      </c>
    </row>
    <row r="10" spans="3:9" x14ac:dyDescent="0.25">
      <c r="C10" s="4" t="s">
        <v>9</v>
      </c>
      <c r="D10" s="5"/>
      <c r="E10" s="5"/>
      <c r="F10" s="6"/>
    </row>
    <row r="12" spans="3:9" x14ac:dyDescent="0.25">
      <c r="D12" s="14" t="s">
        <v>10</v>
      </c>
      <c r="E12" s="7"/>
      <c r="F12" s="8"/>
      <c r="G12" s="24" t="s">
        <v>20</v>
      </c>
      <c r="H12" s="25"/>
      <c r="I12" s="26"/>
    </row>
    <row r="13" spans="3:9" x14ac:dyDescent="0.25">
      <c r="D13" s="9"/>
      <c r="E13" s="10"/>
      <c r="F13" s="11"/>
    </row>
    <row r="14" spans="3:9" x14ac:dyDescent="0.25">
      <c r="D14" s="12"/>
      <c r="E14" s="13"/>
      <c r="F14" s="15" t="s">
        <v>11</v>
      </c>
    </row>
    <row r="16" spans="3:9" x14ac:dyDescent="0.25">
      <c r="D16" s="23" t="s">
        <v>12</v>
      </c>
      <c r="F16" s="23" t="s">
        <v>13</v>
      </c>
    </row>
    <row r="18" spans="4:8" x14ac:dyDescent="0.25">
      <c r="D18" s="17" t="s">
        <v>14</v>
      </c>
      <c r="F18" s="20" t="s">
        <v>16</v>
      </c>
      <c r="G18" s="19"/>
      <c r="H18" s="21" t="s">
        <v>17</v>
      </c>
    </row>
    <row r="19" spans="4:8" x14ac:dyDescent="0.25">
      <c r="D19" s="16"/>
      <c r="F19" s="22" t="s">
        <v>19</v>
      </c>
    </row>
    <row r="20" spans="4:8" x14ac:dyDescent="0.25">
      <c r="D20" s="16"/>
    </row>
    <row r="21" spans="4:8" x14ac:dyDescent="0.25">
      <c r="D21" s="18" t="s">
        <v>15</v>
      </c>
      <c r="F21" s="27" t="s">
        <v>21</v>
      </c>
      <c r="G21" s="27"/>
      <c r="H21" s="27"/>
    </row>
    <row r="22" spans="4:8" x14ac:dyDescent="0.25">
      <c r="D22" s="22" t="s">
        <v>18</v>
      </c>
      <c r="F22" t="s">
        <v>22</v>
      </c>
      <c r="G22" s="1" t="s">
        <v>23</v>
      </c>
      <c r="H22" t="s">
        <v>24</v>
      </c>
    </row>
  </sheetData>
  <mergeCells count="4">
    <mergeCell ref="C3:F3"/>
    <mergeCell ref="C10:F10"/>
    <mergeCell ref="G12:I12"/>
    <mergeCell ref="F21:H2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75262-F20E-4518-A722-94C3311E2694}">
  <dimension ref="B3:O30"/>
  <sheetViews>
    <sheetView zoomScale="115" zoomScaleNormal="115" workbookViewId="0">
      <selection activeCell="C10" sqref="C10"/>
    </sheetView>
  </sheetViews>
  <sheetFormatPr baseColWidth="10" defaultRowHeight="15" x14ac:dyDescent="0.25"/>
  <cols>
    <col min="4" max="4" width="44.85546875" bestFit="1" customWidth="1"/>
  </cols>
  <sheetData>
    <row r="3" spans="2:12" ht="27.75" customHeight="1" x14ac:dyDescent="0.25">
      <c r="B3" s="30" t="s">
        <v>25</v>
      </c>
      <c r="C3" s="30"/>
      <c r="D3" s="30"/>
      <c r="E3" s="30"/>
    </row>
    <row r="4" spans="2:12" x14ac:dyDescent="0.25">
      <c r="B4" s="31" t="s">
        <v>29</v>
      </c>
      <c r="C4" s="31" t="s">
        <v>26</v>
      </c>
      <c r="D4" s="31" t="s">
        <v>27</v>
      </c>
      <c r="E4" s="31" t="s">
        <v>28</v>
      </c>
    </row>
    <row r="5" spans="2:12" x14ac:dyDescent="0.25">
      <c r="B5" s="1">
        <v>1</v>
      </c>
      <c r="C5" s="1" t="s">
        <v>30</v>
      </c>
      <c r="D5" s="28" t="s">
        <v>38</v>
      </c>
      <c r="E5" s="29">
        <v>14799</v>
      </c>
      <c r="H5" s="4" t="s">
        <v>46</v>
      </c>
      <c r="I5" s="5"/>
      <c r="J5" s="5"/>
      <c r="K5" s="5"/>
      <c r="L5" s="6"/>
    </row>
    <row r="6" spans="2:12" x14ac:dyDescent="0.25">
      <c r="B6" s="1">
        <v>2</v>
      </c>
      <c r="C6" s="1" t="s">
        <v>31</v>
      </c>
      <c r="D6" s="28" t="s">
        <v>39</v>
      </c>
      <c r="E6" s="29">
        <v>2359</v>
      </c>
    </row>
    <row r="7" spans="2:12" x14ac:dyDescent="0.25">
      <c r="B7" s="1">
        <v>3</v>
      </c>
      <c r="C7" s="1" t="s">
        <v>32</v>
      </c>
      <c r="D7" s="28" t="s">
        <v>40</v>
      </c>
      <c r="E7" s="29">
        <v>258</v>
      </c>
      <c r="H7" s="28" t="s">
        <v>48</v>
      </c>
      <c r="L7" s="32" t="s">
        <v>47</v>
      </c>
    </row>
    <row r="8" spans="2:12" x14ac:dyDescent="0.25">
      <c r="B8" s="1">
        <v>4</v>
      </c>
      <c r="C8" s="1" t="s">
        <v>33</v>
      </c>
      <c r="D8" s="28" t="s">
        <v>41</v>
      </c>
      <c r="E8" s="29">
        <v>160</v>
      </c>
    </row>
    <row r="9" spans="2:12" x14ac:dyDescent="0.25">
      <c r="B9" s="1">
        <v>5</v>
      </c>
      <c r="C9" s="1" t="s">
        <v>37</v>
      </c>
      <c r="D9" s="28" t="s">
        <v>42</v>
      </c>
      <c r="E9" s="29">
        <v>84</v>
      </c>
      <c r="H9" t="s">
        <v>49</v>
      </c>
      <c r="L9" s="32" t="s">
        <v>50</v>
      </c>
    </row>
    <row r="10" spans="2:12" x14ac:dyDescent="0.25">
      <c r="B10" s="1">
        <v>6</v>
      </c>
      <c r="C10" s="1" t="s">
        <v>34</v>
      </c>
      <c r="D10" s="28" t="s">
        <v>43</v>
      </c>
      <c r="E10" s="29">
        <v>3682.45</v>
      </c>
    </row>
    <row r="11" spans="2:12" x14ac:dyDescent="0.25">
      <c r="B11" s="1">
        <v>7</v>
      </c>
      <c r="C11" s="1" t="s">
        <v>35</v>
      </c>
      <c r="D11" s="28" t="s">
        <v>44</v>
      </c>
      <c r="E11" s="29">
        <v>929.32</v>
      </c>
      <c r="H11" t="s">
        <v>51</v>
      </c>
      <c r="L11" s="32" t="s">
        <v>52</v>
      </c>
    </row>
    <row r="12" spans="2:12" x14ac:dyDescent="0.25">
      <c r="B12" s="1">
        <v>8</v>
      </c>
      <c r="C12" s="1" t="s">
        <v>36</v>
      </c>
      <c r="D12" s="28" t="s">
        <v>45</v>
      </c>
      <c r="E12" s="29">
        <v>645</v>
      </c>
    </row>
    <row r="13" spans="2:12" x14ac:dyDescent="0.25">
      <c r="H13" t="s">
        <v>53</v>
      </c>
      <c r="L13" s="32" t="s">
        <v>54</v>
      </c>
    </row>
    <row r="15" spans="2:12" x14ac:dyDescent="0.25">
      <c r="H15" s="4" t="s">
        <v>55</v>
      </c>
      <c r="I15" s="5"/>
      <c r="J15" s="5"/>
      <c r="K15" s="5"/>
      <c r="L15" s="6"/>
    </row>
    <row r="16" spans="2:12" x14ac:dyDescent="0.25">
      <c r="B16" s="40" t="s">
        <v>62</v>
      </c>
      <c r="C16" s="40"/>
      <c r="D16" s="40"/>
      <c r="E16" s="40"/>
    </row>
    <row r="17" spans="8:15" x14ac:dyDescent="0.25">
      <c r="H17" t="s">
        <v>56</v>
      </c>
      <c r="L17" s="33" t="s">
        <v>57</v>
      </c>
    </row>
    <row r="19" spans="8:15" x14ac:dyDescent="0.25">
      <c r="H19" t="s">
        <v>58</v>
      </c>
      <c r="L19" s="33" t="s">
        <v>59</v>
      </c>
    </row>
    <row r="20" spans="8:15" x14ac:dyDescent="0.25">
      <c r="O20" s="39"/>
    </row>
    <row r="21" spans="8:15" x14ac:dyDescent="0.25">
      <c r="H21" t="s">
        <v>64</v>
      </c>
      <c r="L21" s="33" t="s">
        <v>60</v>
      </c>
    </row>
    <row r="23" spans="8:15" x14ac:dyDescent="0.25">
      <c r="H23" s="34" t="s">
        <v>61</v>
      </c>
      <c r="I23" s="34"/>
      <c r="J23" s="34"/>
    </row>
    <row r="24" spans="8:15" x14ac:dyDescent="0.25">
      <c r="H24" s="34"/>
      <c r="I24" s="34"/>
      <c r="J24" s="34"/>
      <c r="L24" s="33" t="s">
        <v>63</v>
      </c>
    </row>
    <row r="26" spans="8:15" x14ac:dyDescent="0.25">
      <c r="H26" s="4" t="s">
        <v>65</v>
      </c>
      <c r="I26" s="5"/>
      <c r="J26" s="5"/>
      <c r="K26" s="5"/>
      <c r="L26" s="6"/>
    </row>
    <row r="27" spans="8:15" x14ac:dyDescent="0.25">
      <c r="O27" s="39"/>
    </row>
    <row r="28" spans="8:15" x14ac:dyDescent="0.25">
      <c r="H28" t="s">
        <v>66</v>
      </c>
      <c r="L28" s="38" t="s">
        <v>68</v>
      </c>
    </row>
    <row r="29" spans="8:15" x14ac:dyDescent="0.25">
      <c r="H29" s="35" t="s">
        <v>32</v>
      </c>
      <c r="I29" s="35" t="s">
        <v>33</v>
      </c>
      <c r="J29" s="35" t="s">
        <v>67</v>
      </c>
    </row>
    <row r="30" spans="8:15" x14ac:dyDescent="0.25">
      <c r="H30" s="36">
        <v>6</v>
      </c>
      <c r="I30" s="36">
        <v>7</v>
      </c>
      <c r="J30" s="36">
        <v>8</v>
      </c>
      <c r="K30" s="36">
        <v>9</v>
      </c>
      <c r="L30" s="36">
        <v>10</v>
      </c>
    </row>
  </sheetData>
  <mergeCells count="5">
    <mergeCell ref="B3:E3"/>
    <mergeCell ref="H15:L15"/>
    <mergeCell ref="H5:L5"/>
    <mergeCell ref="H23:J24"/>
    <mergeCell ref="H26:L2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BBF32-651C-49D0-ACCA-84A2B7F7C62F}">
  <dimension ref="B2:J30"/>
  <sheetViews>
    <sheetView topLeftCell="A4" zoomScale="160" zoomScaleNormal="160" workbookViewId="0">
      <selection activeCell="B32" sqref="B32"/>
    </sheetView>
  </sheetViews>
  <sheetFormatPr baseColWidth="10" defaultRowHeight="15" x14ac:dyDescent="0.25"/>
  <cols>
    <col min="2" max="2" width="20" bestFit="1" customWidth="1"/>
    <col min="4" max="4" width="43.85546875" customWidth="1"/>
    <col min="9" max="9" width="19.28515625" customWidth="1"/>
  </cols>
  <sheetData>
    <row r="2" spans="2:9" x14ac:dyDescent="0.25">
      <c r="B2" s="1" t="s">
        <v>69</v>
      </c>
      <c r="C2" s="1" t="s">
        <v>70</v>
      </c>
    </row>
    <row r="3" spans="2:9" x14ac:dyDescent="0.25">
      <c r="B3" s="36" t="s">
        <v>71</v>
      </c>
      <c r="C3" s="1">
        <f>2+2</f>
        <v>4</v>
      </c>
      <c r="D3" s="41" t="s">
        <v>72</v>
      </c>
      <c r="E3" s="41" t="s">
        <v>71</v>
      </c>
    </row>
    <row r="5" spans="2:9" x14ac:dyDescent="0.25">
      <c r="C5" s="2" t="s">
        <v>73</v>
      </c>
      <c r="D5" s="2"/>
      <c r="E5" s="3" t="s">
        <v>74</v>
      </c>
      <c r="F5" s="3"/>
      <c r="G5" s="3"/>
      <c r="H5" s="3"/>
      <c r="I5" s="3"/>
    </row>
    <row r="7" spans="2:9" x14ac:dyDescent="0.25">
      <c r="D7" s="40" t="s">
        <v>75</v>
      </c>
      <c r="E7" s="40"/>
      <c r="F7" s="40"/>
      <c r="G7" s="40"/>
      <c r="H7" s="40"/>
      <c r="I7" s="40"/>
    </row>
    <row r="9" spans="2:9" x14ac:dyDescent="0.25">
      <c r="C9">
        <f>2+2+1</f>
        <v>5</v>
      </c>
    </row>
    <row r="11" spans="2:9" x14ac:dyDescent="0.25">
      <c r="B11" s="38" t="str">
        <f>B3</f>
        <v>2+2</v>
      </c>
      <c r="C11" s="41" t="s">
        <v>72</v>
      </c>
      <c r="D11" s="41" t="s">
        <v>76</v>
      </c>
      <c r="F11" t="s">
        <v>82</v>
      </c>
    </row>
    <row r="13" spans="2:9" x14ac:dyDescent="0.25">
      <c r="B13" s="37">
        <v>1</v>
      </c>
      <c r="C13" s="37">
        <v>3</v>
      </c>
      <c r="D13" s="37">
        <v>5</v>
      </c>
      <c r="E13" s="37" t="s">
        <v>77</v>
      </c>
      <c r="F13" s="37" t="s">
        <v>78</v>
      </c>
    </row>
    <row r="15" spans="2:9" x14ac:dyDescent="0.25">
      <c r="B15" s="38" cm="1">
        <f t="array" ref="B15:F15">B13:F13</f>
        <v>1</v>
      </c>
      <c r="C15" s="38">
        <v>3</v>
      </c>
      <c r="D15" s="38">
        <v>5</v>
      </c>
      <c r="E15" s="38" t="str">
        <v xml:space="preserve">Hola </v>
      </c>
      <c r="F15" s="38" t="str">
        <v>mundo</v>
      </c>
      <c r="H15" t="s">
        <v>79</v>
      </c>
    </row>
    <row r="17" spans="2:10" x14ac:dyDescent="0.25">
      <c r="B17" s="38" cm="1">
        <f t="array" ref="B17:E20">'Ejemplo 1'!B7:E10</f>
        <v>3</v>
      </c>
      <c r="C17" s="38" t="str">
        <v>C</v>
      </c>
      <c r="D17" s="38" t="str">
        <v>Portalapices de 24 unidades</v>
      </c>
      <c r="E17" s="38">
        <v>258</v>
      </c>
      <c r="H17" t="s">
        <v>80</v>
      </c>
    </row>
    <row r="18" spans="2:10" x14ac:dyDescent="0.25">
      <c r="B18" s="38">
        <v>4</v>
      </c>
      <c r="C18" s="38" t="str">
        <v>D</v>
      </c>
      <c r="D18" s="38" t="str">
        <v>Paquete de hojas blancas 500u</v>
      </c>
      <c r="E18" s="38">
        <v>160</v>
      </c>
      <c r="H18" s="42" t="s">
        <v>81</v>
      </c>
    </row>
    <row r="19" spans="2:10" x14ac:dyDescent="0.25">
      <c r="B19" s="38">
        <v>5</v>
      </c>
      <c r="C19" s="38" t="str">
        <v>W</v>
      </c>
      <c r="D19" s="38" t="str">
        <v>Juego de lapiceros tinta negra punto fino</v>
      </c>
      <c r="E19" s="38">
        <v>84</v>
      </c>
    </row>
    <row r="20" spans="2:10" x14ac:dyDescent="0.25">
      <c r="B20" s="38">
        <v>6</v>
      </c>
      <c r="C20" s="38" t="str">
        <v>X</v>
      </c>
      <c r="D20" s="38" t="str">
        <v>Escritorio de madera 2 islas con gabinete superior</v>
      </c>
      <c r="E20" s="38">
        <v>3682.45</v>
      </c>
    </row>
    <row r="22" spans="2:10" x14ac:dyDescent="0.25">
      <c r="B22" s="46" cm="1">
        <f t="array" ref="B22:E25">B17:E20</f>
        <v>3</v>
      </c>
      <c r="C22" s="46" t="str">
        <v>C</v>
      </c>
      <c r="D22" s="46" t="str">
        <v>Portalapices de 24 unidades</v>
      </c>
      <c r="E22" s="46">
        <v>258</v>
      </c>
      <c r="H22" t="s">
        <v>83</v>
      </c>
    </row>
    <row r="23" spans="2:10" x14ac:dyDescent="0.25">
      <c r="B23" s="46">
        <v>4</v>
      </c>
      <c r="C23" s="46" t="str">
        <v>D</v>
      </c>
      <c r="D23" s="46" t="str">
        <v>Paquete de hojas blancas 500u</v>
      </c>
      <c r="E23" s="46">
        <v>160</v>
      </c>
    </row>
    <row r="24" spans="2:10" x14ac:dyDescent="0.25">
      <c r="B24" s="46">
        <v>5</v>
      </c>
      <c r="C24" s="46" t="str">
        <v>W</v>
      </c>
      <c r="D24" s="46" t="str">
        <v>Juego de lapiceros tinta negra punto fino</v>
      </c>
      <c r="E24" s="46">
        <v>84</v>
      </c>
    </row>
    <row r="25" spans="2:10" x14ac:dyDescent="0.25">
      <c r="B25" s="46">
        <v>6</v>
      </c>
      <c r="C25" s="46" t="str">
        <v>X</v>
      </c>
      <c r="D25" s="46" t="str">
        <v>Escritorio de madera 2 islas con gabinete superior</v>
      </c>
      <c r="E25" s="46">
        <v>3682.45</v>
      </c>
    </row>
    <row r="27" spans="2:10" x14ac:dyDescent="0.25">
      <c r="B27" s="43" t="e" cm="1" vm="1">
        <f t="array" aca="1" ref="B27" ca="1">B22:E25</f>
        <v>#VALUE!</v>
      </c>
      <c r="C27" s="38"/>
      <c r="D27" s="38"/>
      <c r="E27" s="38"/>
      <c r="H27" s="45" t="s">
        <v>85</v>
      </c>
      <c r="I27" s="45"/>
      <c r="J27" s="45"/>
    </row>
    <row r="28" spans="2:10" x14ac:dyDescent="0.25">
      <c r="B28" s="38"/>
      <c r="C28" s="38"/>
      <c r="D28" s="38"/>
      <c r="E28" s="38"/>
      <c r="H28" s="45"/>
      <c r="I28" s="45"/>
      <c r="J28" s="45"/>
    </row>
    <row r="29" spans="2:10" x14ac:dyDescent="0.25">
      <c r="B29" s="38"/>
      <c r="C29" s="38"/>
      <c r="D29" s="44" t="s">
        <v>84</v>
      </c>
      <c r="E29" s="38"/>
      <c r="H29" s="45"/>
      <c r="I29" s="45"/>
      <c r="J29" s="45"/>
    </row>
    <row r="30" spans="2:10" x14ac:dyDescent="0.25">
      <c r="B30" s="38"/>
      <c r="C30" s="38"/>
      <c r="D30" s="38"/>
      <c r="E30" s="38"/>
      <c r="H30" s="45"/>
      <c r="I30" s="45"/>
      <c r="J30" s="45"/>
    </row>
  </sheetData>
  <mergeCells count="2">
    <mergeCell ref="C5:D5"/>
    <mergeCell ref="H27:J3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2DD32-8220-4C17-8A4D-8F123B62D31D}">
  <dimension ref="A2:I35"/>
  <sheetViews>
    <sheetView zoomScale="160" zoomScaleNormal="160" workbookViewId="0">
      <selection activeCell="B7" sqref="B7"/>
    </sheetView>
  </sheetViews>
  <sheetFormatPr baseColWidth="10" defaultRowHeight="15" x14ac:dyDescent="0.25"/>
  <cols>
    <col min="2" max="2" width="44.85546875" bestFit="1" customWidth="1"/>
    <col min="3" max="3" width="20.140625" customWidth="1"/>
    <col min="4" max="4" width="44.85546875" bestFit="1" customWidth="1"/>
    <col min="5" max="5" width="15" customWidth="1"/>
  </cols>
  <sheetData>
    <row r="2" spans="1:9" x14ac:dyDescent="0.25">
      <c r="B2" s="47"/>
      <c r="C2" s="47"/>
      <c r="D2" s="47"/>
      <c r="E2" s="47"/>
    </row>
    <row r="3" spans="1:9" x14ac:dyDescent="0.25">
      <c r="B3" t="str">
        <f>'Ejemplo 1'!B3</f>
        <v>Productos</v>
      </c>
    </row>
    <row r="5" spans="1:9" x14ac:dyDescent="0.25">
      <c r="B5" t="str" cm="1">
        <f t="array" ref="B5:E5">'Ejemplo 1'!B4:E4</f>
        <v>Indice</v>
      </c>
      <c r="C5" t="str">
        <v>Clave</v>
      </c>
      <c r="D5" t="str">
        <v>Nombre</v>
      </c>
      <c r="E5" t="str">
        <v>Precio</v>
      </c>
    </row>
    <row r="6" spans="1:9" x14ac:dyDescent="0.25">
      <c r="B6" cm="1">
        <f t="array" ref="B6:E13">'Ejemplo 1'!B5:E12</f>
        <v>1</v>
      </c>
      <c r="C6" s="50" t="str">
        <v>A</v>
      </c>
      <c r="D6" t="str">
        <v>Computadora Toshiba AMD Rayzen 7 512GB / 8GB</v>
      </c>
      <c r="E6" s="51">
        <v>14799</v>
      </c>
    </row>
    <row r="7" spans="1:9" x14ac:dyDescent="0.25">
      <c r="B7">
        <v>2</v>
      </c>
      <c r="C7" s="50" t="str">
        <v>B</v>
      </c>
      <c r="D7" t="str">
        <v>Impresora HP Inject 550u 30ppm</v>
      </c>
      <c r="E7" s="51">
        <v>2359</v>
      </c>
    </row>
    <row r="8" spans="1:9" x14ac:dyDescent="0.25">
      <c r="B8">
        <v>3</v>
      </c>
      <c r="C8" s="50" t="str">
        <v>C</v>
      </c>
      <c r="D8" t="str">
        <v>Portalapices de 24 unidades</v>
      </c>
      <c r="E8" s="51">
        <v>258</v>
      </c>
    </row>
    <row r="9" spans="1:9" x14ac:dyDescent="0.25">
      <c r="B9">
        <v>4</v>
      </c>
      <c r="C9" s="49" t="str">
        <v>D</v>
      </c>
      <c r="D9" t="str">
        <v>Paquete de hojas blancas 500u</v>
      </c>
      <c r="E9" s="52">
        <v>160</v>
      </c>
    </row>
    <row r="10" spans="1:9" x14ac:dyDescent="0.25">
      <c r="B10">
        <v>5</v>
      </c>
      <c r="C10" s="50" t="str">
        <v>W</v>
      </c>
      <c r="D10" t="str">
        <v>Juego de lapiceros tinta negra punto fino</v>
      </c>
      <c r="E10" s="51">
        <v>84</v>
      </c>
    </row>
    <row r="11" spans="1:9" x14ac:dyDescent="0.25">
      <c r="B11">
        <v>6</v>
      </c>
      <c r="C11" s="50" t="str">
        <v>X</v>
      </c>
      <c r="D11" t="str">
        <v>Escritorio de madera 2 islas con gabinete superior</v>
      </c>
      <c r="E11" s="51">
        <v>3682.45</v>
      </c>
    </row>
    <row r="12" spans="1:9" x14ac:dyDescent="0.25">
      <c r="B12">
        <v>7</v>
      </c>
      <c r="C12" s="50" t="str">
        <v>Y</v>
      </c>
      <c r="D12" t="str">
        <v>Silla ejecutiva NK18F</v>
      </c>
      <c r="E12" s="51">
        <v>929.32</v>
      </c>
    </row>
    <row r="13" spans="1:9" x14ac:dyDescent="0.25">
      <c r="B13">
        <v>8</v>
      </c>
      <c r="C13" s="50" t="str">
        <v>Z</v>
      </c>
      <c r="D13" t="str">
        <v>Lámpara de luz blanca 12L para escritorio</v>
      </c>
      <c r="E13" s="51">
        <v>645</v>
      </c>
    </row>
    <row r="15" spans="1:9" x14ac:dyDescent="0.25">
      <c r="A15" t="s">
        <v>33</v>
      </c>
      <c r="B15" t="str">
        <f>LOOKUP("D", C6:C13, C6:C13)</f>
        <v>D</v>
      </c>
      <c r="D15" t="s">
        <v>87</v>
      </c>
    </row>
    <row r="16" spans="1:9" x14ac:dyDescent="0.25">
      <c r="A16" s="41" t="s">
        <v>72</v>
      </c>
      <c r="B16" s="41" t="s">
        <v>88</v>
      </c>
      <c r="D16" s="58" t="s">
        <v>86</v>
      </c>
      <c r="E16" s="59"/>
      <c r="F16" s="59"/>
      <c r="G16" s="59"/>
      <c r="H16" s="59"/>
      <c r="I16" s="60"/>
    </row>
    <row r="17" spans="1:9" x14ac:dyDescent="0.25">
      <c r="D17" t="s">
        <v>89</v>
      </c>
    </row>
    <row r="19" spans="1:9" x14ac:dyDescent="0.25">
      <c r="A19" t="s">
        <v>67</v>
      </c>
      <c r="B19" t="str">
        <f>LOOKUP("G", C6:C13, C6:C13)</f>
        <v>D</v>
      </c>
    </row>
    <row r="21" spans="1:9" x14ac:dyDescent="0.25">
      <c r="A21" s="49" t="s">
        <v>33</v>
      </c>
      <c r="B21" s="53">
        <f>LOOKUP("D", C6:C13, E6:E13)</f>
        <v>160</v>
      </c>
    </row>
    <row r="22" spans="1:9" x14ac:dyDescent="0.25">
      <c r="A22" s="41" t="s">
        <v>72</v>
      </c>
      <c r="B22" s="41" t="s">
        <v>90</v>
      </c>
    </row>
    <row r="24" spans="1:9" x14ac:dyDescent="0.25">
      <c r="A24" s="55" t="s">
        <v>91</v>
      </c>
      <c r="B24" s="55"/>
      <c r="C24" s="55"/>
    </row>
    <row r="25" spans="1:9" x14ac:dyDescent="0.25">
      <c r="B25" s="54" t="s">
        <v>96</v>
      </c>
    </row>
    <row r="27" spans="1:9" x14ac:dyDescent="0.25">
      <c r="A27" s="56" t="s">
        <v>92</v>
      </c>
      <c r="B27" s="56"/>
      <c r="C27" s="56"/>
    </row>
    <row r="28" spans="1:9" x14ac:dyDescent="0.25">
      <c r="B28" s="57">
        <f>LOOKUP(B25,C6:C13,E6:E13)</f>
        <v>160</v>
      </c>
      <c r="D28" s="58" t="s">
        <v>93</v>
      </c>
      <c r="E28" s="59"/>
      <c r="F28" s="59"/>
      <c r="G28" s="59"/>
      <c r="H28" s="59"/>
      <c r="I28" s="60"/>
    </row>
    <row r="29" spans="1:9" x14ac:dyDescent="0.25">
      <c r="D29" s="58" t="s">
        <v>95</v>
      </c>
      <c r="E29" s="59"/>
      <c r="F29" s="59"/>
      <c r="G29" s="59"/>
      <c r="H29" s="59"/>
      <c r="I29" s="60"/>
    </row>
    <row r="32" spans="1:9" x14ac:dyDescent="0.25">
      <c r="B32" t="s">
        <v>97</v>
      </c>
    </row>
    <row r="34" spans="1:4" x14ac:dyDescent="0.25">
      <c r="A34" s="54" t="s">
        <v>94</v>
      </c>
      <c r="B34" t="e">
        <f>VLOOKUP(A34,C6:E13,2,FALSE)</f>
        <v>#N/A</v>
      </c>
      <c r="C34" s="48" t="e">
        <f>VLOOKUP(A34,C6:E13,3,FALSE)</f>
        <v>#N/A</v>
      </c>
      <c r="D34" t="s">
        <v>98</v>
      </c>
    </row>
    <row r="35" spans="1:4" x14ac:dyDescent="0.25">
      <c r="A35" s="39"/>
      <c r="B35" t="str">
        <f>IFERROR(VLOOKUP(A34,C6:E13,2,FALSE), "No encontrado")</f>
        <v>No encontrado</v>
      </c>
      <c r="C35" s="48" t="str">
        <f>IFERROR(VLOOKUP(A34,C6:E13,3,FALSE), "")</f>
        <v/>
      </c>
      <c r="D35" t="s">
        <v>99</v>
      </c>
    </row>
  </sheetData>
  <mergeCells count="5">
    <mergeCell ref="A27:C27"/>
    <mergeCell ref="A24:C24"/>
    <mergeCell ref="D29:I29"/>
    <mergeCell ref="D28:I28"/>
    <mergeCell ref="D16:I1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7332D-1606-4F79-B2A4-558B08756124}">
  <dimension ref="C6:L22"/>
  <sheetViews>
    <sheetView tabSelected="1" zoomScale="115" zoomScaleNormal="115" workbookViewId="0">
      <selection activeCell="E22" sqref="E22"/>
    </sheetView>
  </sheetViews>
  <sheetFormatPr baseColWidth="10" defaultRowHeight="15" x14ac:dyDescent="0.25"/>
  <cols>
    <col min="5" max="5" width="48.7109375" customWidth="1"/>
    <col min="6" max="6" width="19.28515625" customWidth="1"/>
    <col min="10" max="10" width="18.42578125" customWidth="1"/>
    <col min="11" max="11" width="48.28515625" customWidth="1"/>
    <col min="12" max="12" width="13.42578125" customWidth="1"/>
  </cols>
  <sheetData>
    <row r="6" spans="3:12" x14ac:dyDescent="0.25">
      <c r="C6" s="1" t="str" cm="1">
        <f t="array" ref="C6:F6">'Ejemplo 1'!B4:E4</f>
        <v>Indice</v>
      </c>
      <c r="D6" s="1" t="str">
        <v>Clave</v>
      </c>
      <c r="E6" s="1" t="str">
        <v>Nombre</v>
      </c>
      <c r="F6" s="1" t="str">
        <v>Precio</v>
      </c>
    </row>
    <row r="7" spans="3:12" x14ac:dyDescent="0.25">
      <c r="C7" s="1" cm="1">
        <f t="array" ref="C7:F14">'Ejemplo 1'!B5:E12</f>
        <v>1</v>
      </c>
      <c r="D7" s="1" t="str">
        <v>A</v>
      </c>
      <c r="E7" s="28" t="str">
        <v>Computadora Toshiba AMD Rayzen 7 512GB / 8GB</v>
      </c>
      <c r="F7" s="61">
        <v>14799</v>
      </c>
      <c r="I7" t="s">
        <v>26</v>
      </c>
      <c r="J7" s="54" t="s">
        <v>30</v>
      </c>
    </row>
    <row r="8" spans="3:12" x14ac:dyDescent="0.25">
      <c r="C8" s="1">
        <v>2</v>
      </c>
      <c r="D8" s="1" t="str">
        <v>B</v>
      </c>
      <c r="E8" s="28" t="str">
        <v>Impresora HP Inject 550u 30ppm</v>
      </c>
      <c r="F8" s="61">
        <v>2359</v>
      </c>
    </row>
    <row r="9" spans="3:12" x14ac:dyDescent="0.25">
      <c r="C9" s="1">
        <v>3</v>
      </c>
      <c r="D9" s="1" t="str">
        <v>C</v>
      </c>
      <c r="E9" s="28" t="str">
        <v>Portalapices de 24 unidades</v>
      </c>
      <c r="F9" s="61">
        <v>258</v>
      </c>
      <c r="I9" cm="1">
        <f t="array" ref="I9:L9">_xlfn._xlws.FILTER(C7:F14,D7:D14=J7)</f>
        <v>1</v>
      </c>
      <c r="J9" t="str">
        <v>A</v>
      </c>
      <c r="K9" t="str">
        <v>Computadora Toshiba AMD Rayzen 7 512GB / 8GB</v>
      </c>
      <c r="L9">
        <v>14799</v>
      </c>
    </row>
    <row r="10" spans="3:12" x14ac:dyDescent="0.25">
      <c r="C10" s="1">
        <v>4</v>
      </c>
      <c r="D10" s="1" t="str">
        <v>D</v>
      </c>
      <c r="E10" s="28" t="str">
        <v>Paquete de hojas blancas 500u</v>
      </c>
      <c r="F10" s="61">
        <v>160</v>
      </c>
    </row>
    <row r="11" spans="3:12" x14ac:dyDescent="0.25">
      <c r="C11" s="1">
        <v>5</v>
      </c>
      <c r="D11" s="1" t="str">
        <v>W</v>
      </c>
      <c r="E11" s="28" t="str">
        <v>Juego de lapiceros tinta negra punto fino</v>
      </c>
      <c r="F11" s="61">
        <v>84</v>
      </c>
      <c r="I11" cm="1">
        <f t="array" ref="I11:L11">INDEX(_xlfn._xlws.FILTER(C7:F14,D7:D14=J7), 1, 0)</f>
        <v>1</v>
      </c>
      <c r="J11" t="str">
        <v>A</v>
      </c>
      <c r="K11" t="str">
        <v>Computadora Toshiba AMD Rayzen 7 512GB / 8GB</v>
      </c>
      <c r="L11">
        <v>14799</v>
      </c>
    </row>
    <row r="12" spans="3:12" x14ac:dyDescent="0.25">
      <c r="C12" s="1">
        <v>6</v>
      </c>
      <c r="D12" s="1" t="str">
        <v>X</v>
      </c>
      <c r="E12" s="28" t="str">
        <v>Escritorio de madera 2 islas con gabinete superior</v>
      </c>
      <c r="F12" s="61">
        <v>3682.45</v>
      </c>
    </row>
    <row r="13" spans="3:12" x14ac:dyDescent="0.25">
      <c r="C13" s="1">
        <v>7</v>
      </c>
      <c r="D13" s="1" t="str">
        <v>Y</v>
      </c>
      <c r="E13" s="28" t="str">
        <v>Silla ejecutiva NK18F</v>
      </c>
      <c r="F13" s="61">
        <v>929.32</v>
      </c>
    </row>
    <row r="14" spans="3:12" x14ac:dyDescent="0.25">
      <c r="C14" s="1">
        <v>8</v>
      </c>
      <c r="D14" s="1" t="str">
        <v>Z</v>
      </c>
      <c r="E14" s="28" t="str">
        <v>Lámpara de luz blanca 12L para escritorio</v>
      </c>
      <c r="F14" s="61">
        <v>645</v>
      </c>
      <c r="I14" t="s">
        <v>27</v>
      </c>
      <c r="K14" t="str" cm="1">
        <f t="array" ref="K14">INDEX(_xlfn._xlws.FILTER(C7:F14,D7:D14=J7), 1, 3)</f>
        <v>Computadora Toshiba AMD Rayzen 7 512GB / 8GB</v>
      </c>
    </row>
    <row r="15" spans="3:12" x14ac:dyDescent="0.25">
      <c r="I15" t="s">
        <v>28</v>
      </c>
      <c r="J15" s="48" cm="1">
        <f t="array" ref="J15">INDEX(_xlfn._xlws.FILTER(C7:F14,D7:D14=J7), 1, 4)</f>
        <v>14799</v>
      </c>
    </row>
    <row r="17" spans="5:10" x14ac:dyDescent="0.25">
      <c r="I17" t="s">
        <v>100</v>
      </c>
      <c r="J17" s="1" cm="1">
        <f t="array" ref="J17">INDEX(_xlfn._xlws.FILTER(C7:F14,D7:D14=J7), 1, 1)</f>
        <v>1</v>
      </c>
    </row>
    <row r="18" spans="5:10" x14ac:dyDescent="0.25">
      <c r="I18" t="s">
        <v>26</v>
      </c>
      <c r="J18" s="1" t="str" cm="1">
        <f t="array" ref="J18">INDEX(_xlfn._xlws.FILTER(C7:F14,D7:D14=J7), 1, 2)</f>
        <v>A</v>
      </c>
    </row>
    <row r="22" spans="5:10" x14ac:dyDescent="0.25">
      <c r="E22" s="6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Direcciones y Rangos</vt:lpstr>
      <vt:lpstr>Ejemplo 1</vt:lpstr>
      <vt:lpstr>Proyecciones</vt:lpstr>
      <vt:lpstr>Buscar</vt:lpstr>
      <vt:lpstr>Filtrar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Badillo Salas</dc:creator>
  <cp:lastModifiedBy>Alan Badillo Salas</cp:lastModifiedBy>
  <dcterms:created xsi:type="dcterms:W3CDTF">2026-07-06T21:24:14Z</dcterms:created>
  <dcterms:modified xsi:type="dcterms:W3CDTF">2026-07-06T23:01:51Z</dcterms:modified>
</cp:coreProperties>
</file>