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65982034-A7CB-414F-A309-D9731909E3A0}" xr6:coauthVersionLast="47" xr6:coauthVersionMax="47" xr10:uidLastSave="{00000000-0000-0000-0000-000000000000}"/>
  <bookViews>
    <workbookView xWindow="-120" yWindow="-120" windowWidth="29040" windowHeight="15720" activeTab="5" xr2:uid="{364A8766-52E3-4C25-B081-A7E43908C418}"/>
  </bookViews>
  <sheets>
    <sheet name="Fórmulas importantes" sheetId="1" r:id="rId1"/>
    <sheet name="Ejemplo 1" sheetId="2" r:id="rId2"/>
    <sheet name="Ejercicio 1" sheetId="3" r:id="rId3"/>
    <sheet name="Coincidir" sheetId="4" r:id="rId4"/>
    <sheet name="Ejemplo 2" sheetId="5" r:id="rId5"/>
    <sheet name="Cruce de dato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7" i="6" l="1" a="1"/>
  <c r="I7" i="6" s="1"/>
  <c r="I8" i="6" a="1"/>
  <c r="I8" i="6"/>
  <c r="I9" i="6" a="1"/>
  <c r="I9" i="6"/>
  <c r="I10" i="6" a="1"/>
  <c r="I10" i="6"/>
  <c r="I11" i="6" a="1"/>
  <c r="I11" i="6" s="1"/>
  <c r="I12" i="6" a="1"/>
  <c r="I12" i="6"/>
  <c r="I6" i="6" a="1"/>
  <c r="I6" i="6" s="1"/>
  <c r="D17" i="6" a="1"/>
  <c r="D17" i="6" s="1"/>
  <c r="D18" i="6" a="1"/>
  <c r="D18" i="6" s="1"/>
  <c r="D19" i="6" a="1"/>
  <c r="D19" i="6"/>
  <c r="D20" i="6" a="1"/>
  <c r="D20" i="6" s="1"/>
  <c r="D21" i="6" a="1"/>
  <c r="D21" i="6" s="1"/>
  <c r="D22" i="6" a="1"/>
  <c r="D22" i="6" s="1"/>
  <c r="D16" i="6" a="1"/>
  <c r="D16" i="6" s="1"/>
  <c r="C17" i="6"/>
  <c r="C18" i="6"/>
  <c r="C19" i="6"/>
  <c r="C20" i="6"/>
  <c r="C21" i="6"/>
  <c r="C22" i="6"/>
  <c r="C16" i="6"/>
  <c r="B17" i="6" a="1"/>
  <c r="B17" i="6" s="1"/>
  <c r="B18" i="6" a="1"/>
  <c r="B18" i="6" s="1"/>
  <c r="B19" i="6" a="1"/>
  <c r="B19" i="6"/>
  <c r="B20" i="6" a="1"/>
  <c r="B20" i="6"/>
  <c r="B21" i="6" a="1"/>
  <c r="B21" i="6" s="1"/>
  <c r="B22" i="6" a="1"/>
  <c r="B22" i="6"/>
  <c r="B16" i="6" a="1"/>
  <c r="B16" i="6" s="1"/>
  <c r="N19" i="5"/>
  <c r="N20" i="5"/>
  <c r="M20" i="5"/>
  <c r="M19" i="5"/>
  <c r="N18" i="5"/>
  <c r="M18" i="5"/>
  <c r="L13" i="5"/>
  <c r="L14" i="5"/>
  <c r="L15" i="5"/>
  <c r="L12" i="5"/>
  <c r="L9" i="5"/>
  <c r="L8" i="5"/>
  <c r="G8" i="4"/>
  <c r="G18" i="4" a="1"/>
  <c r="G18" i="4" s="1"/>
  <c r="G17" i="4" a="1"/>
  <c r="G17" i="4" s="1"/>
  <c r="G15" i="4"/>
  <c r="I11" i="4"/>
  <c r="I10" i="4"/>
  <c r="G10" i="4" a="1"/>
  <c r="G10" i="4" s="1"/>
  <c r="I11" i="2" a="1"/>
  <c r="I11" i="2" s="1"/>
  <c r="H13" i="2" a="1"/>
  <c r="H13" i="2" s="1"/>
  <c r="H11" i="2" a="1"/>
  <c r="H11" i="2" s="1"/>
  <c r="J18" i="2" a="1"/>
  <c r="J18" i="2" s="1"/>
  <c r="E22" i="2" a="1"/>
  <c r="E22" i="2" s="1"/>
  <c r="C22" i="2" a="1"/>
  <c r="C22" i="2" s="1"/>
  <c r="H18" i="2" a="1"/>
  <c r="H18" i="2" s="1"/>
  <c r="H8" i="2" a="1"/>
  <c r="H8" i="2" s="1"/>
  <c r="H6" i="2" a="1"/>
  <c r="H6" i="2" s="1"/>
  <c r="G11" i="4" l="1" a="1"/>
  <c r="G1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<sst xmlns="http://schemas.openxmlformats.org/spreadsheetml/2006/main" count="287" uniqueCount="105">
  <si>
    <t>Fórmulas importantes</t>
  </si>
  <si>
    <t>Proyección</t>
  </si>
  <si>
    <t>=</t>
  </si>
  <si>
    <t>[COLUMNA FILA]</t>
  </si>
  <si>
    <t>CELDA</t>
  </si>
  <si>
    <t>[COLUMNA INICIAL FILA INICIAL : COLUMNA FINAL FILA FINAL]</t>
  </si>
  <si>
    <t>RANGO</t>
  </si>
  <si>
    <t>Buscar</t>
  </si>
  <si>
    <t>Umbrales</t>
  </si>
  <si>
    <t>BUSCAR([VALOR], [RANGO COLUMNA BÚSQUEDA], [RANGO COLUMNA RESULTADO])</t>
  </si>
  <si>
    <t>Retiene la posición del último valor encontrado</t>
  </si>
  <si>
    <t>Buscar Vertical</t>
  </si>
  <si>
    <t>Buscar Horizontal</t>
  </si>
  <si>
    <t>BUSCARV([VALOR], [RANGO MATRIZ CON 1RA COLUMNA DE BÚSQUEDA], [COLUMNA], FALSO)</t>
  </si>
  <si>
    <t>VERDADERO - BÚSQUEDA APROXIMADA</t>
  </si>
  <si>
    <t>FALSO - BÚSQUEDA EXACTA</t>
  </si>
  <si>
    <t>Devuelve el valor de la columna indicada en la posición encontrada de manera exacta o aproximada</t>
  </si>
  <si>
    <t>Filtrar</t>
  </si>
  <si>
    <t>FILTRAR([RANGO MATRIZ], [MÁSCARA / POSICIONES LÓGICAS])</t>
  </si>
  <si>
    <t>Devuelve el SUBRANGO MATRIZ (submatriz completa) solo en las filas activadas por la máscara</t>
  </si>
  <si>
    <t>Índice</t>
  </si>
  <si>
    <t>INDICE([RANGO MATRIZ], [FILA / FILAS / 0], [COLUMNA / COLUMNAS / 0])</t>
  </si>
  <si>
    <t>Selecciona el SUBRANGO MATRIZ (submatriz parcial) solo en las filas y columnas indicadas</t>
  </si>
  <si>
    <t>Categoría</t>
  </si>
  <si>
    <t>Departamento</t>
  </si>
  <si>
    <t>Ropa</t>
  </si>
  <si>
    <t>Hombres</t>
  </si>
  <si>
    <t>Mujeres</t>
  </si>
  <si>
    <t>Niños</t>
  </si>
  <si>
    <t>Niñas</t>
  </si>
  <si>
    <t>Abarrotes</t>
  </si>
  <si>
    <t>Alimentos</t>
  </si>
  <si>
    <t>Bebidas</t>
  </si>
  <si>
    <t>Enlatados</t>
  </si>
  <si>
    <t>Producto</t>
  </si>
  <si>
    <t>Precio</t>
  </si>
  <si>
    <t>Playero Polo</t>
  </si>
  <si>
    <t>Pantalón Deportivo</t>
  </si>
  <si>
    <t>Saco Vestir</t>
  </si>
  <si>
    <t>Tenis Deportivos</t>
  </si>
  <si>
    <t>Playera Superheroe</t>
  </si>
  <si>
    <t>Gorra Deportiva</t>
  </si>
  <si>
    <t>Maruchan</t>
  </si>
  <si>
    <t>Pan Bimbo</t>
  </si>
  <si>
    <t>Jugo Mango</t>
  </si>
  <si>
    <t>Agua Mineral</t>
  </si>
  <si>
    <t>Lata de Verduras</t>
  </si>
  <si>
    <t>Lata de Atún</t>
  </si>
  <si>
    <t>$400</t>
  </si>
  <si>
    <t>$600</t>
  </si>
  <si>
    <t>$900</t>
  </si>
  <si>
    <t>$1200</t>
  </si>
  <si>
    <t>$300</t>
  </si>
  <si>
    <t>$200</t>
  </si>
  <si>
    <t>$700</t>
  </si>
  <si>
    <t>$18</t>
  </si>
  <si>
    <t>$60</t>
  </si>
  <si>
    <t>$30</t>
  </si>
  <si>
    <t>$22</t>
  </si>
  <si>
    <t>$28</t>
  </si>
  <si>
    <t>Indice</t>
  </si>
  <si>
    <t>FORMATO LARGO</t>
  </si>
  <si>
    <t>Cada eje de información se desglosa finamente</t>
  </si>
  <si>
    <t>C7:F7</t>
  </si>
  <si>
    <t>INDICE(MATRIZ, FILA(s), COLUMNA(s))</t>
  </si>
  <si>
    <t>FÍSICO</t>
  </si>
  <si>
    <t>RELATIVO</t>
  </si>
  <si>
    <t>D13:E16</t>
  </si>
  <si>
    <t>SECUENCIA(4, 1, 9, 1)</t>
  </si>
  <si>
    <t>SECUENCIA(1, 2, 2, 1)</t>
  </si>
  <si>
    <t>INDICE(C5:F18, 3, 0)</t>
  </si>
  <si>
    <t>INDICE(C4:F18, SECUENCIA(4, 1, 9, 1), SECUENCIA(1, 2, 2, 1))</t>
  </si>
  <si>
    <t>Ejercicio 1</t>
  </si>
  <si>
    <t>1. Construir el índice para recuperar los precios de la ropa de mujeres y niñas</t>
  </si>
  <si>
    <t>INDICE(MATRIZ, { fila1, fila2, ... }, COLUMNA)</t>
  </si>
  <si>
    <t>2. Calcular el promedio de esos precios</t>
  </si>
  <si>
    <t>RETO</t>
  </si>
  <si>
    <t>* Compara el promedio de la ropa de hombres y niños contra la ropa de mujeres y niñas</t>
  </si>
  <si>
    <t>* Comparar el precio promedio entre bebidas y enlatados</t>
  </si>
  <si>
    <t>* Calcular el promedio y la desviación estándar de los precios de la ropa y el promedio y la desviación estándar de los precios de los abarrotes</t>
  </si>
  <si>
    <t>A</t>
  </si>
  <si>
    <t>B</t>
  </si>
  <si>
    <t>C</t>
  </si>
  <si>
    <t>X</t>
  </si>
  <si>
    <t>Y</t>
  </si>
  <si>
    <t>COINCIDIR</t>
  </si>
  <si>
    <t>Posición</t>
  </si>
  <si>
    <t>PRODUCTO</t>
  </si>
  <si>
    <t>PRECIO</t>
  </si>
  <si>
    <t>c</t>
  </si>
  <si>
    <t>Coincidir</t>
  </si>
  <si>
    <t>COINCIDIR([VALOR], [RANGO COLUMNA], [0 - Exacta])</t>
  </si>
  <si>
    <t>Devuelve la posición del primer valor encontrado sobre la columna (horizontal o vertical)</t>
  </si>
  <si>
    <t>COINCIDIR(G7;B3:F3;0)</t>
  </si>
  <si>
    <t>COLUMNA D</t>
  </si>
  <si>
    <t>COLUMNA E</t>
  </si>
  <si>
    <t>COLUMNA G</t>
  </si>
  <si>
    <t>Tabla A</t>
  </si>
  <si>
    <t>Tabla B</t>
  </si>
  <si>
    <t>Indicador</t>
  </si>
  <si>
    <t>$100</t>
  </si>
  <si>
    <t>$500</t>
  </si>
  <si>
    <t>UNO</t>
  </si>
  <si>
    <t>DOS</t>
  </si>
  <si>
    <t>Tabla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</si>
</sst>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2" tint="-0.499984740745262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8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</cellStyleXfs>
  <cellXfs count="77">
    <xf numFmtId="0" fontId="0" fillId="0" borderId="0" xfId="0"/>
    <xf numFmtId="0" fontId="6" fillId="0" borderId="0" xfId="0" applyFont="1"/>
    <xf numFmtId="0" fontId="0" fillId="6" borderId="2" xfId="5" applyFont="1"/>
    <xf numFmtId="0" fontId="0" fillId="6" borderId="3" xfId="5" applyFont="1" applyBorder="1" applyAlignment="1">
      <alignment horizontal="center"/>
    </xf>
    <xf numFmtId="0" fontId="0" fillId="6" borderId="4" xfId="5" applyFont="1" applyBorder="1" applyAlignment="1">
      <alignment horizontal="center"/>
    </xf>
    <xf numFmtId="0" fontId="0" fillId="6" borderId="5" xfId="5" applyFont="1" applyBorder="1" applyAlignment="1">
      <alignment horizontal="center"/>
    </xf>
    <xf numFmtId="0" fontId="5" fillId="5" borderId="1" xfId="4" applyAlignment="1">
      <alignment horizontal="center"/>
    </xf>
    <xf numFmtId="0" fontId="5" fillId="5" borderId="6" xfId="4" applyBorder="1" applyAlignment="1">
      <alignment horizontal="center"/>
    </xf>
    <xf numFmtId="0" fontId="5" fillId="5" borderId="7" xfId="4" applyBorder="1" applyAlignment="1">
      <alignment horizontal="center"/>
    </xf>
    <xf numFmtId="0" fontId="5" fillId="5" borderId="8" xfId="4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0" fillId="7" borderId="0" xfId="0" applyFill="1"/>
    <xf numFmtId="0" fontId="0" fillId="0" borderId="11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8" borderId="10" xfId="0" applyFill="1" applyBorder="1"/>
    <xf numFmtId="0" fontId="0" fillId="8" borderId="13" xfId="0" applyFill="1" applyBorder="1"/>
    <xf numFmtId="0" fontId="0" fillId="9" borderId="13" xfId="0" applyFill="1" applyBorder="1"/>
    <xf numFmtId="0" fontId="0" fillId="9" borderId="15" xfId="0" applyFill="1" applyBorder="1"/>
    <xf numFmtId="0" fontId="0" fillId="10" borderId="11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5" borderId="0" xfId="0" applyFill="1" applyBorder="1"/>
    <xf numFmtId="0" fontId="0" fillId="15" borderId="16" xfId="0" applyFill="1" applyBorder="1"/>
    <xf numFmtId="0" fontId="0" fillId="7" borderId="9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9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18" borderId="0" xfId="0" applyFill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9" fillId="8" borderId="13" xfId="0" applyFont="1" applyFill="1" applyBorder="1"/>
    <xf numFmtId="0" fontId="9" fillId="11" borderId="0" xfId="0" applyFont="1" applyFill="1" applyBorder="1"/>
    <xf numFmtId="0" fontId="9" fillId="0" borderId="0" xfId="0" applyFont="1" applyBorder="1"/>
    <xf numFmtId="0" fontId="9" fillId="0" borderId="14" xfId="0" applyFont="1" applyBorder="1"/>
    <xf numFmtId="0" fontId="10" fillId="0" borderId="0" xfId="0" applyFont="1"/>
    <xf numFmtId="0" fontId="6" fillId="14" borderId="0" xfId="0" applyFont="1" applyFill="1" applyBorder="1"/>
    <xf numFmtId="0" fontId="6" fillId="0" borderId="0" xfId="0" applyFont="1" applyBorder="1"/>
    <xf numFmtId="0" fontId="6" fillId="16" borderId="0" xfId="0" applyFont="1" applyFill="1" applyBorder="1"/>
    <xf numFmtId="0" fontId="0" fillId="19" borderId="0" xfId="0" applyFill="1"/>
    <xf numFmtId="0" fontId="11" fillId="0" borderId="14" xfId="0" applyFont="1" applyBorder="1"/>
    <xf numFmtId="0" fontId="11" fillId="0" borderId="12" xfId="0" applyFont="1" applyBorder="1"/>
    <xf numFmtId="0" fontId="0" fillId="20" borderId="0" xfId="0" applyFill="1"/>
    <xf numFmtId="0" fontId="4" fillId="4" borderId="0" xfId="3"/>
    <xf numFmtId="0" fontId="0" fillId="21" borderId="0" xfId="0" applyFill="1"/>
    <xf numFmtId="0" fontId="0" fillId="22" borderId="0" xfId="0" applyFill="1"/>
    <xf numFmtId="164" fontId="0" fillId="0" borderId="0" xfId="0" applyNumberFormat="1"/>
    <xf numFmtId="0" fontId="0" fillId="0" borderId="0" xfId="0" applyAlignment="1">
      <alignment horizontal="left" wrapText="1"/>
    </xf>
    <xf numFmtId="0" fontId="7" fillId="6" borderId="3" xfId="5" applyFont="1" applyBorder="1" applyAlignment="1">
      <alignment horizontal="center"/>
    </xf>
    <xf numFmtId="0" fontId="7" fillId="6" borderId="4" xfId="5" applyFont="1" applyBorder="1" applyAlignment="1">
      <alignment horizontal="center"/>
    </xf>
    <xf numFmtId="0" fontId="7" fillId="6" borderId="5" xfId="5" applyFont="1" applyBorder="1" applyAlignment="1">
      <alignment horizontal="center"/>
    </xf>
    <xf numFmtId="164" fontId="0" fillId="0" borderId="14" xfId="0" applyNumberFormat="1" applyBorder="1"/>
    <xf numFmtId="164" fontId="0" fillId="0" borderId="17" xfId="0" applyNumberFormat="1" applyBorder="1"/>
    <xf numFmtId="0" fontId="0" fillId="0" borderId="9" xfId="0" applyBorder="1"/>
    <xf numFmtId="0" fontId="2" fillId="2" borderId="0" xfId="1" applyAlignment="1">
      <alignment horizontal="center"/>
    </xf>
    <xf numFmtId="0" fontId="0" fillId="23" borderId="0" xfId="0" applyFill="1" applyAlignment="1">
      <alignment horizontal="center"/>
    </xf>
    <xf numFmtId="0" fontId="4" fillId="4" borderId="0" xfId="3" applyAlignment="1">
      <alignment horizontal="center"/>
    </xf>
    <xf numFmtId="0" fontId="0" fillId="8" borderId="0" xfId="0" applyFill="1" applyAlignment="1">
      <alignment horizontal="center"/>
    </xf>
    <xf numFmtId="0" fontId="3" fillId="3" borderId="0" xfId="2" applyAlignment="1">
      <alignment horizontal="center"/>
    </xf>
    <xf numFmtId="0" fontId="0" fillId="17" borderId="0" xfId="0" applyFill="1"/>
    <xf numFmtId="0" fontId="0" fillId="17" borderId="0" xfId="0" applyFill="1" applyBorder="1"/>
    <xf numFmtId="0" fontId="0" fillId="24" borderId="0" xfId="0" applyFill="1"/>
    <xf numFmtId="0" fontId="0" fillId="24" borderId="0" xfId="0" applyFill="1" applyBorder="1"/>
    <xf numFmtId="0" fontId="0" fillId="8" borderId="0" xfId="0" applyFill="1" applyBorder="1"/>
    <xf numFmtId="0" fontId="0" fillId="8" borderId="0" xfId="0" applyFill="1"/>
    <xf numFmtId="0" fontId="0" fillId="7" borderId="0" xfId="0" applyFill="1" applyBorder="1"/>
    <xf numFmtId="164" fontId="0" fillId="0" borderId="0" xfId="0" applyNumberFormat="1" applyAlignment="1">
      <alignment horizontal="center"/>
    </xf>
  </cellXfs>
  <cellStyles count="6">
    <cellStyle name="Bueno" xfId="1" builtinId="26"/>
    <cellStyle name="Cálculo" xfId="4" builtinId="22"/>
    <cellStyle name="Incorrecto" xfId="2" builtinId="27"/>
    <cellStyle name="Neutral" xfId="3" builtinId="28"/>
    <cellStyle name="Normal" xfId="0" builtinId="0"/>
    <cellStyle name="Notas" xfId="5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73B5C-FB25-4FDE-9855-A0D5730DFE82}">
  <dimension ref="B3:M34"/>
  <sheetViews>
    <sheetView topLeftCell="A13" zoomScale="145" zoomScaleNormal="145" workbookViewId="0">
      <selection activeCell="F34" sqref="F34:M34"/>
    </sheetView>
  </sheetViews>
  <sheetFormatPr baseColWidth="10" defaultRowHeight="15" x14ac:dyDescent="0.25"/>
  <sheetData>
    <row r="3" spans="2:11" x14ac:dyDescent="0.25">
      <c r="B3" s="3" t="s">
        <v>0</v>
      </c>
      <c r="C3" s="4"/>
      <c r="D3" s="4"/>
      <c r="E3" s="4"/>
      <c r="F3" s="5"/>
    </row>
    <row r="5" spans="2:11" x14ac:dyDescent="0.25">
      <c r="D5" t="s">
        <v>4</v>
      </c>
      <c r="I5" t="s">
        <v>6</v>
      </c>
    </row>
    <row r="6" spans="2:11" x14ac:dyDescent="0.25">
      <c r="B6" t="s">
        <v>1</v>
      </c>
      <c r="D6" s="1" t="s">
        <v>2</v>
      </c>
      <c r="E6" s="1" t="s">
        <v>3</v>
      </c>
      <c r="H6" s="1" t="s">
        <v>2</v>
      </c>
      <c r="I6" s="1" t="s">
        <v>5</v>
      </c>
      <c r="J6" s="1"/>
    </row>
    <row r="8" spans="2:11" x14ac:dyDescent="0.25">
      <c r="D8" t="s">
        <v>8</v>
      </c>
    </row>
    <row r="9" spans="2:11" x14ac:dyDescent="0.25">
      <c r="B9" t="s">
        <v>7</v>
      </c>
      <c r="D9" s="1" t="s">
        <v>2</v>
      </c>
      <c r="E9" s="1" t="s">
        <v>9</v>
      </c>
    </row>
    <row r="11" spans="2:11" x14ac:dyDescent="0.25">
      <c r="F11" s="7" t="s">
        <v>10</v>
      </c>
      <c r="G11" s="8"/>
      <c r="H11" s="8"/>
      <c r="I11" s="8"/>
      <c r="J11" s="8"/>
      <c r="K11" s="9"/>
    </row>
    <row r="13" spans="2:11" x14ac:dyDescent="0.25">
      <c r="B13" t="s">
        <v>11</v>
      </c>
    </row>
    <row r="14" spans="2:11" x14ac:dyDescent="0.25">
      <c r="B14" t="s">
        <v>12</v>
      </c>
      <c r="D14" s="1" t="s">
        <v>2</v>
      </c>
      <c r="E14" s="1" t="s">
        <v>13</v>
      </c>
    </row>
    <row r="16" spans="2:11" x14ac:dyDescent="0.25">
      <c r="F16" t="s">
        <v>14</v>
      </c>
    </row>
    <row r="17" spans="2:13" x14ac:dyDescent="0.25">
      <c r="F17" t="s">
        <v>15</v>
      </c>
    </row>
    <row r="19" spans="2:13" x14ac:dyDescent="0.25">
      <c r="F19" s="6" t="s">
        <v>16</v>
      </c>
      <c r="G19" s="6"/>
      <c r="H19" s="6"/>
      <c r="I19" s="6"/>
      <c r="J19" s="6"/>
      <c r="K19" s="6"/>
      <c r="L19" s="6"/>
      <c r="M19" s="6"/>
    </row>
    <row r="22" spans="2:13" x14ac:dyDescent="0.25">
      <c r="B22" t="s">
        <v>17</v>
      </c>
      <c r="D22" s="1" t="s">
        <v>2</v>
      </c>
      <c r="E22" s="1" t="s">
        <v>18</v>
      </c>
    </row>
    <row r="24" spans="2:13" x14ac:dyDescent="0.25">
      <c r="F24" s="6" t="s">
        <v>19</v>
      </c>
      <c r="G24" s="6"/>
      <c r="H24" s="6"/>
      <c r="I24" s="6"/>
      <c r="J24" s="6"/>
      <c r="K24" s="6"/>
      <c r="L24" s="6"/>
      <c r="M24" s="6"/>
    </row>
    <row r="27" spans="2:13" x14ac:dyDescent="0.25">
      <c r="B27" t="s">
        <v>20</v>
      </c>
      <c r="D27" s="1" t="s">
        <v>2</v>
      </c>
      <c r="E27" s="1" t="s">
        <v>21</v>
      </c>
    </row>
    <row r="29" spans="2:13" x14ac:dyDescent="0.25">
      <c r="D29" s="11"/>
      <c r="F29" s="7" t="s">
        <v>22</v>
      </c>
      <c r="G29" s="8"/>
      <c r="H29" s="8"/>
      <c r="I29" s="8"/>
      <c r="J29" s="8"/>
      <c r="K29" s="8"/>
      <c r="L29" s="8"/>
      <c r="M29" s="9"/>
    </row>
    <row r="32" spans="2:13" x14ac:dyDescent="0.25">
      <c r="B32" t="s">
        <v>90</v>
      </c>
      <c r="D32" s="1" t="s">
        <v>2</v>
      </c>
      <c r="E32" s="1" t="s">
        <v>91</v>
      </c>
    </row>
    <row r="34" spans="6:13" x14ac:dyDescent="0.25">
      <c r="F34" s="6" t="s">
        <v>92</v>
      </c>
      <c r="G34" s="6"/>
      <c r="H34" s="6"/>
      <c r="I34" s="6"/>
      <c r="J34" s="6"/>
      <c r="K34" s="6"/>
      <c r="L34" s="6"/>
      <c r="M34" s="6"/>
    </row>
  </sheetData>
  <mergeCells count="6">
    <mergeCell ref="B3:F3"/>
    <mergeCell ref="F11:K11"/>
    <mergeCell ref="F19:M19"/>
    <mergeCell ref="F24:M24"/>
    <mergeCell ref="F29:M29"/>
    <mergeCell ref="F34:M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FDF54-488A-4D95-A6FD-D69C9F5F2DDE}">
  <dimension ref="B1:O25"/>
  <sheetViews>
    <sheetView topLeftCell="B1" zoomScale="130" zoomScaleNormal="130" workbookViewId="0">
      <selection activeCell="B12" sqref="B12"/>
    </sheetView>
  </sheetViews>
  <sheetFormatPr baseColWidth="10" defaultRowHeight="15" x14ac:dyDescent="0.25"/>
  <cols>
    <col min="2" max="2" width="18.42578125" customWidth="1"/>
    <col min="3" max="3" width="22.7109375" customWidth="1"/>
    <col min="5" max="5" width="22.42578125" customWidth="1"/>
    <col min="9" max="9" width="12.85546875" customWidth="1"/>
  </cols>
  <sheetData>
    <row r="1" spans="2:12" x14ac:dyDescent="0.25">
      <c r="B1" s="2" t="s">
        <v>61</v>
      </c>
      <c r="C1" s="2"/>
      <c r="D1" s="2" t="s">
        <v>62</v>
      </c>
      <c r="E1" s="2"/>
      <c r="F1" s="2"/>
      <c r="H1" s="53" t="s">
        <v>2</v>
      </c>
      <c r="I1" s="53" t="s">
        <v>64</v>
      </c>
      <c r="J1" s="53"/>
      <c r="K1" s="53"/>
    </row>
    <row r="3" spans="2:12" x14ac:dyDescent="0.25">
      <c r="C3" s="38">
        <v>1</v>
      </c>
      <c r="D3" s="39">
        <v>2</v>
      </c>
      <c r="E3" s="39">
        <v>3</v>
      </c>
      <c r="F3" s="40">
        <v>4</v>
      </c>
    </row>
    <row r="4" spans="2:12" x14ac:dyDescent="0.25">
      <c r="B4" s="33" t="s">
        <v>60</v>
      </c>
      <c r="C4" s="31" t="s">
        <v>24</v>
      </c>
      <c r="D4" s="31" t="s">
        <v>23</v>
      </c>
      <c r="E4" s="31" t="s">
        <v>34</v>
      </c>
      <c r="F4" s="31" t="s">
        <v>35</v>
      </c>
    </row>
    <row r="5" spans="2:12" x14ac:dyDescent="0.25">
      <c r="B5" s="34">
        <v>1</v>
      </c>
      <c r="C5" s="20" t="s">
        <v>25</v>
      </c>
      <c r="D5" s="24" t="s">
        <v>26</v>
      </c>
      <c r="E5" s="13" t="s">
        <v>36</v>
      </c>
      <c r="F5" s="51" t="s">
        <v>48</v>
      </c>
      <c r="H5" s="1" t="s">
        <v>2</v>
      </c>
      <c r="I5" s="1" t="s">
        <v>70</v>
      </c>
      <c r="L5" t="s">
        <v>66</v>
      </c>
    </row>
    <row r="6" spans="2:12" x14ac:dyDescent="0.25">
      <c r="B6" s="35">
        <v>2</v>
      </c>
      <c r="C6" s="21" t="s">
        <v>25</v>
      </c>
      <c r="D6" s="25" t="s">
        <v>26</v>
      </c>
      <c r="E6" s="15" t="s">
        <v>37</v>
      </c>
      <c r="F6" s="50" t="s">
        <v>49</v>
      </c>
      <c r="H6" t="str" cm="1">
        <f t="array" ref="H6:K6">INDEX($C$5:$F$18, 3, 0)</f>
        <v>Ropa</v>
      </c>
      <c r="I6" t="str">
        <v>Mujeres</v>
      </c>
      <c r="J6" t="str">
        <v>Saco Vestir</v>
      </c>
      <c r="K6" t="str">
        <v>$900</v>
      </c>
    </row>
    <row r="7" spans="2:12" x14ac:dyDescent="0.25">
      <c r="B7" s="35">
        <v>3</v>
      </c>
      <c r="C7" s="41" t="s">
        <v>25</v>
      </c>
      <c r="D7" s="42" t="s">
        <v>27</v>
      </c>
      <c r="E7" s="43" t="s">
        <v>38</v>
      </c>
      <c r="F7" s="44" t="s">
        <v>50</v>
      </c>
      <c r="G7" s="37"/>
      <c r="H7" s="45" t="s">
        <v>2</v>
      </c>
      <c r="I7" s="45" t="s">
        <v>63</v>
      </c>
      <c r="L7" t="s">
        <v>65</v>
      </c>
    </row>
    <row r="8" spans="2:12" x14ac:dyDescent="0.25">
      <c r="B8" s="35">
        <v>4</v>
      </c>
      <c r="C8" s="21" t="s">
        <v>25</v>
      </c>
      <c r="D8" s="26" t="s">
        <v>27</v>
      </c>
      <c r="E8" s="15" t="s">
        <v>39</v>
      </c>
      <c r="F8" s="16" t="s">
        <v>51</v>
      </c>
      <c r="H8" t="str" cm="1">
        <f t="array" ref="H8:K8">C7:F7</f>
        <v>Ropa</v>
      </c>
      <c r="I8" t="str">
        <v>Mujeres</v>
      </c>
      <c r="J8" t="str">
        <v>Saco Vestir</v>
      </c>
      <c r="K8" t="str">
        <v>$900</v>
      </c>
    </row>
    <row r="9" spans="2:12" x14ac:dyDescent="0.25">
      <c r="B9" s="35">
        <v>5</v>
      </c>
      <c r="C9" s="21" t="s">
        <v>25</v>
      </c>
      <c r="D9" s="28" t="s">
        <v>28</v>
      </c>
      <c r="E9" s="15" t="s">
        <v>40</v>
      </c>
      <c r="F9" s="50" t="s">
        <v>52</v>
      </c>
    </row>
    <row r="10" spans="2:12" x14ac:dyDescent="0.25">
      <c r="B10" s="35">
        <v>6</v>
      </c>
      <c r="C10" s="21" t="s">
        <v>25</v>
      </c>
      <c r="D10" s="28" t="s">
        <v>28</v>
      </c>
      <c r="E10" s="15" t="s">
        <v>41</v>
      </c>
      <c r="F10" s="50" t="s">
        <v>53</v>
      </c>
      <c r="G10" s="52"/>
      <c r="H10" t="s">
        <v>65</v>
      </c>
      <c r="I10" t="s">
        <v>66</v>
      </c>
    </row>
    <row r="11" spans="2:12" x14ac:dyDescent="0.25">
      <c r="B11" s="35">
        <v>7</v>
      </c>
      <c r="C11" s="21" t="s">
        <v>25</v>
      </c>
      <c r="D11" s="27" t="s">
        <v>29</v>
      </c>
      <c r="E11" s="15" t="s">
        <v>40</v>
      </c>
      <c r="F11" s="16" t="s">
        <v>54</v>
      </c>
      <c r="H11" s="54" t="str" cm="1">
        <f t="array" ref="H11:H12">F5:F6</f>
        <v>$400</v>
      </c>
      <c r="I11" t="str" cm="1">
        <f t="array" ref="I11:I14">TRANSPOSE(INDEX(C5:F18, {1,2,5,6}, 4))</f>
        <v>$400</v>
      </c>
    </row>
    <row r="12" spans="2:12" x14ac:dyDescent="0.25">
      <c r="B12" s="35">
        <v>8</v>
      </c>
      <c r="C12" s="21" t="s">
        <v>25</v>
      </c>
      <c r="D12" s="27" t="s">
        <v>29</v>
      </c>
      <c r="E12" s="15" t="s">
        <v>41</v>
      </c>
      <c r="F12" s="16" t="s">
        <v>48</v>
      </c>
      <c r="H12" s="54" t="str">
        <v>$600</v>
      </c>
      <c r="I12" t="str">
        <v>$600</v>
      </c>
    </row>
    <row r="13" spans="2:12" x14ac:dyDescent="0.25">
      <c r="B13" s="35">
        <v>9</v>
      </c>
      <c r="C13" s="22" t="s">
        <v>30</v>
      </c>
      <c r="D13" s="46" t="s">
        <v>31</v>
      </c>
      <c r="E13" s="47" t="s">
        <v>42</v>
      </c>
      <c r="F13" s="16" t="s">
        <v>55</v>
      </c>
      <c r="H13" s="55" t="str" cm="1">
        <f t="array" ref="H13:H14">F9:F10</f>
        <v>$300</v>
      </c>
      <c r="I13" t="str">
        <v>$300</v>
      </c>
    </row>
    <row r="14" spans="2:12" x14ac:dyDescent="0.25">
      <c r="B14" s="35">
        <v>10</v>
      </c>
      <c r="C14" s="22" t="s">
        <v>30</v>
      </c>
      <c r="D14" s="46" t="s">
        <v>31</v>
      </c>
      <c r="E14" s="47" t="s">
        <v>43</v>
      </c>
      <c r="F14" s="16" t="s">
        <v>56</v>
      </c>
      <c r="H14" s="55" t="str">
        <v>$200</v>
      </c>
      <c r="I14" t="str">
        <v>$200</v>
      </c>
    </row>
    <row r="15" spans="2:12" x14ac:dyDescent="0.25">
      <c r="B15" s="35">
        <v>11</v>
      </c>
      <c r="C15" s="22" t="s">
        <v>30</v>
      </c>
      <c r="D15" s="48" t="s">
        <v>32</v>
      </c>
      <c r="E15" s="47" t="s">
        <v>44</v>
      </c>
      <c r="F15" s="16" t="s">
        <v>57</v>
      </c>
    </row>
    <row r="16" spans="2:12" x14ac:dyDescent="0.25">
      <c r="B16" s="35">
        <v>12</v>
      </c>
      <c r="C16" s="22" t="s">
        <v>30</v>
      </c>
      <c r="D16" s="48" t="s">
        <v>32</v>
      </c>
      <c r="E16" s="47" t="s">
        <v>45</v>
      </c>
      <c r="F16" s="16" t="s">
        <v>58</v>
      </c>
      <c r="G16" s="49"/>
      <c r="H16" t="s">
        <v>65</v>
      </c>
      <c r="J16" t="s">
        <v>66</v>
      </c>
    </row>
    <row r="17" spans="2:15" x14ac:dyDescent="0.25">
      <c r="B17" s="35">
        <v>13</v>
      </c>
      <c r="C17" s="22" t="s">
        <v>30</v>
      </c>
      <c r="D17" s="29" t="s">
        <v>33</v>
      </c>
      <c r="E17" s="15" t="s">
        <v>47</v>
      </c>
      <c r="F17" s="16" t="s">
        <v>59</v>
      </c>
      <c r="H17" s="45" t="s">
        <v>2</v>
      </c>
      <c r="I17" s="45" t="s">
        <v>67</v>
      </c>
      <c r="J17" s="1" t="s">
        <v>2</v>
      </c>
      <c r="K17" s="1" t="s">
        <v>71</v>
      </c>
      <c r="L17" s="1"/>
      <c r="M17" s="1"/>
      <c r="N17" s="1"/>
      <c r="O17" s="1"/>
    </row>
    <row r="18" spans="2:15" x14ac:dyDescent="0.25">
      <c r="B18" s="36">
        <v>14</v>
      </c>
      <c r="C18" s="23" t="s">
        <v>30</v>
      </c>
      <c r="D18" s="30" t="s">
        <v>33</v>
      </c>
      <c r="E18" s="18" t="s">
        <v>46</v>
      </c>
      <c r="F18" s="19" t="s">
        <v>55</v>
      </c>
      <c r="H18" t="str" cm="1">
        <f t="array" ref="H18:I21">D13:E16</f>
        <v>Alimentos</v>
      </c>
      <c r="I18" t="str">
        <v>Maruchan</v>
      </c>
      <c r="J18" t="str" cm="1">
        <f t="array" ref="J18:K21">INDEX(C5:F18, _xlfn.SEQUENCE(4, 1, 9, 1), _xlfn.SEQUENCE(1, 2, 2, 1))</f>
        <v>Alimentos</v>
      </c>
      <c r="K18" t="str">
        <v>Maruchan</v>
      </c>
    </row>
    <row r="19" spans="2:15" x14ac:dyDescent="0.25">
      <c r="H19" t="str">
        <v>Alimentos</v>
      </c>
      <c r="I19" t="str">
        <v>Pan Bimbo</v>
      </c>
      <c r="J19" t="str">
        <v>Alimentos</v>
      </c>
      <c r="K19" t="str">
        <v>Pan Bimbo</v>
      </c>
    </row>
    <row r="20" spans="2:15" x14ac:dyDescent="0.25">
      <c r="H20" t="str">
        <v>Bebidas</v>
      </c>
      <c r="I20" t="str">
        <v>Jugo Mango</v>
      </c>
      <c r="J20" t="str">
        <v>Bebidas</v>
      </c>
      <c r="K20" t="str">
        <v>Jugo Mango</v>
      </c>
    </row>
    <row r="21" spans="2:15" x14ac:dyDescent="0.25">
      <c r="C21" s="10" t="s">
        <v>68</v>
      </c>
      <c r="E21" s="10" t="s">
        <v>69</v>
      </c>
      <c r="H21" t="str">
        <v>Bebidas</v>
      </c>
      <c r="I21" t="str">
        <v>Agua Mineral</v>
      </c>
      <c r="J21" t="str">
        <v>Bebidas</v>
      </c>
      <c r="K21" t="str">
        <v>Agua Mineral</v>
      </c>
    </row>
    <row r="22" spans="2:15" x14ac:dyDescent="0.25">
      <c r="C22" s="10" cm="1">
        <f t="array" ref="C22:C25">_xlfn.SEQUENCE(4, 1, 9, 1)</f>
        <v>9</v>
      </c>
      <c r="E22" s="10" cm="1">
        <f t="array" ref="E22:E23">_xlfn.SEQUENCE(2, 1, 2, 1)</f>
        <v>2</v>
      </c>
    </row>
    <row r="23" spans="2:15" x14ac:dyDescent="0.25">
      <c r="C23" s="10">
        <v>10</v>
      </c>
      <c r="E23" s="10">
        <v>3</v>
      </c>
    </row>
    <row r="24" spans="2:15" x14ac:dyDescent="0.25">
      <c r="C24" s="10">
        <v>11</v>
      </c>
      <c r="E24" s="10"/>
    </row>
    <row r="25" spans="2:15" x14ac:dyDescent="0.25">
      <c r="C25" s="10">
        <v>12</v>
      </c>
      <c r="E25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B9EF3-1059-407A-8DD3-F2A3E0EF50B8}">
  <dimension ref="D4:P21"/>
  <sheetViews>
    <sheetView topLeftCell="C1" zoomScale="130" zoomScaleNormal="130" workbookViewId="0">
      <selection activeCell="D6" sqref="D6:H21"/>
    </sheetView>
  </sheetViews>
  <sheetFormatPr baseColWidth="10" defaultRowHeight="15" x14ac:dyDescent="0.25"/>
  <cols>
    <col min="5" max="5" width="14.7109375" customWidth="1"/>
    <col min="6" max="6" width="16.140625" customWidth="1"/>
    <col min="7" max="7" width="26.28515625" customWidth="1"/>
  </cols>
  <sheetData>
    <row r="4" spans="4:16" x14ac:dyDescent="0.25">
      <c r="J4" s="58" t="s">
        <v>72</v>
      </c>
      <c r="K4" s="59"/>
      <c r="L4" s="59"/>
      <c r="M4" s="59"/>
      <c r="N4" s="59"/>
      <c r="O4" s="59"/>
      <c r="P4" s="60"/>
    </row>
    <row r="6" spans="4:16" x14ac:dyDescent="0.25">
      <c r="E6" s="38">
        <v>1</v>
      </c>
      <c r="F6" s="39">
        <v>2</v>
      </c>
      <c r="G6" s="39">
        <v>3</v>
      </c>
      <c r="H6" s="40">
        <v>4</v>
      </c>
    </row>
    <row r="7" spans="4:16" x14ac:dyDescent="0.25">
      <c r="D7" s="10" t="s">
        <v>60</v>
      </c>
      <c r="E7" s="63" t="s">
        <v>24</v>
      </c>
      <c r="F7" s="63" t="s">
        <v>23</v>
      </c>
      <c r="G7" s="63" t="s">
        <v>34</v>
      </c>
      <c r="H7" s="63" t="s">
        <v>35</v>
      </c>
      <c r="J7" t="s">
        <v>73</v>
      </c>
    </row>
    <row r="8" spans="4:16" x14ac:dyDescent="0.25">
      <c r="D8" s="34">
        <v>1</v>
      </c>
      <c r="E8" s="14" t="s">
        <v>25</v>
      </c>
      <c r="F8" s="15" t="s">
        <v>26</v>
      </c>
      <c r="G8" s="15" t="s">
        <v>36</v>
      </c>
      <c r="H8" s="61">
        <v>400</v>
      </c>
    </row>
    <row r="9" spans="4:16" x14ac:dyDescent="0.25">
      <c r="D9" s="35">
        <v>2</v>
      </c>
      <c r="E9" s="14" t="s">
        <v>25</v>
      </c>
      <c r="F9" s="15" t="s">
        <v>26</v>
      </c>
      <c r="G9" s="15" t="s">
        <v>37</v>
      </c>
      <c r="H9" s="61">
        <v>600</v>
      </c>
      <c r="K9" s="1" t="s">
        <v>2</v>
      </c>
      <c r="L9" s="1" t="s">
        <v>74</v>
      </c>
      <c r="M9" s="1"/>
      <c r="N9" s="1"/>
      <c r="O9" s="1"/>
    </row>
    <row r="10" spans="4:16" x14ac:dyDescent="0.25">
      <c r="D10" s="35">
        <v>3</v>
      </c>
      <c r="E10" s="14" t="s">
        <v>25</v>
      </c>
      <c r="F10" s="15" t="s">
        <v>27</v>
      </c>
      <c r="G10" s="15" t="s">
        <v>38</v>
      </c>
      <c r="H10" s="61">
        <v>900</v>
      </c>
    </row>
    <row r="11" spans="4:16" x14ac:dyDescent="0.25">
      <c r="D11" s="35">
        <v>4</v>
      </c>
      <c r="E11" s="14" t="s">
        <v>25</v>
      </c>
      <c r="F11" s="15" t="s">
        <v>27</v>
      </c>
      <c r="G11" s="15" t="s">
        <v>39</v>
      </c>
      <c r="H11" s="61">
        <v>1200</v>
      </c>
      <c r="J11" t="s">
        <v>75</v>
      </c>
    </row>
    <row r="12" spans="4:16" x14ac:dyDescent="0.25">
      <c r="D12" s="35">
        <v>5</v>
      </c>
      <c r="E12" s="14" t="s">
        <v>25</v>
      </c>
      <c r="F12" s="15" t="s">
        <v>28</v>
      </c>
      <c r="G12" s="15" t="s">
        <v>40</v>
      </c>
      <c r="H12" s="61">
        <v>300</v>
      </c>
    </row>
    <row r="13" spans="4:16" x14ac:dyDescent="0.25">
      <c r="D13" s="35">
        <v>6</v>
      </c>
      <c r="E13" s="14" t="s">
        <v>25</v>
      </c>
      <c r="F13" s="15" t="s">
        <v>28</v>
      </c>
      <c r="G13" s="15" t="s">
        <v>41</v>
      </c>
      <c r="H13" s="61">
        <v>200</v>
      </c>
    </row>
    <row r="14" spans="4:16" x14ac:dyDescent="0.25">
      <c r="D14" s="35">
        <v>7</v>
      </c>
      <c r="E14" s="14" t="s">
        <v>25</v>
      </c>
      <c r="F14" s="15" t="s">
        <v>29</v>
      </c>
      <c r="G14" s="15" t="s">
        <v>40</v>
      </c>
      <c r="H14" s="61">
        <v>700</v>
      </c>
    </row>
    <row r="15" spans="4:16" x14ac:dyDescent="0.25">
      <c r="D15" s="35">
        <v>8</v>
      </c>
      <c r="E15" s="14" t="s">
        <v>25</v>
      </c>
      <c r="F15" s="15" t="s">
        <v>29</v>
      </c>
      <c r="G15" s="15" t="s">
        <v>41</v>
      </c>
      <c r="H15" s="61">
        <v>400</v>
      </c>
      <c r="J15" s="64" t="s">
        <v>76</v>
      </c>
    </row>
    <row r="16" spans="4:16" x14ac:dyDescent="0.25">
      <c r="D16" s="35">
        <v>9</v>
      </c>
      <c r="E16" s="14" t="s">
        <v>30</v>
      </c>
      <c r="F16" s="15" t="s">
        <v>31</v>
      </c>
      <c r="G16" s="15" t="s">
        <v>42</v>
      </c>
      <c r="H16" s="61">
        <v>18</v>
      </c>
    </row>
    <row r="17" spans="4:16" x14ac:dyDescent="0.25">
      <c r="D17" s="35">
        <v>10</v>
      </c>
      <c r="E17" s="14" t="s">
        <v>30</v>
      </c>
      <c r="F17" s="15" t="s">
        <v>31</v>
      </c>
      <c r="G17" s="15" t="s">
        <v>43</v>
      </c>
      <c r="H17" s="61">
        <v>60</v>
      </c>
      <c r="J17" t="s">
        <v>77</v>
      </c>
    </row>
    <row r="18" spans="4:16" x14ac:dyDescent="0.25">
      <c r="D18" s="35">
        <v>11</v>
      </c>
      <c r="E18" s="14" t="s">
        <v>30</v>
      </c>
      <c r="F18" s="15" t="s">
        <v>32</v>
      </c>
      <c r="G18" s="15" t="s">
        <v>44</v>
      </c>
      <c r="H18" s="61">
        <v>30</v>
      </c>
      <c r="J18" t="s">
        <v>78</v>
      </c>
    </row>
    <row r="19" spans="4:16" x14ac:dyDescent="0.25">
      <c r="D19" s="35">
        <v>12</v>
      </c>
      <c r="E19" s="14" t="s">
        <v>30</v>
      </c>
      <c r="F19" s="15" t="s">
        <v>32</v>
      </c>
      <c r="G19" s="15" t="s">
        <v>45</v>
      </c>
      <c r="H19" s="61">
        <v>22</v>
      </c>
      <c r="J19" s="57" t="s">
        <v>79</v>
      </c>
      <c r="K19" s="57"/>
      <c r="L19" s="57"/>
      <c r="M19" s="57"/>
      <c r="N19" s="57"/>
      <c r="O19" s="57"/>
      <c r="P19" s="57"/>
    </row>
    <row r="20" spans="4:16" x14ac:dyDescent="0.25">
      <c r="D20" s="35">
        <v>13</v>
      </c>
      <c r="E20" s="14" t="s">
        <v>30</v>
      </c>
      <c r="F20" s="15" t="s">
        <v>33</v>
      </c>
      <c r="G20" s="15" t="s">
        <v>47</v>
      </c>
      <c r="H20" s="61">
        <v>28</v>
      </c>
      <c r="J20" s="57"/>
      <c r="K20" s="57"/>
      <c r="L20" s="57"/>
      <c r="M20" s="57"/>
      <c r="N20" s="57"/>
      <c r="O20" s="57"/>
      <c r="P20" s="57"/>
    </row>
    <row r="21" spans="4:16" x14ac:dyDescent="0.25">
      <c r="D21" s="36">
        <v>14</v>
      </c>
      <c r="E21" s="17" t="s">
        <v>30</v>
      </c>
      <c r="F21" s="18" t="s">
        <v>33</v>
      </c>
      <c r="G21" s="18" t="s">
        <v>46</v>
      </c>
      <c r="H21" s="62">
        <v>18</v>
      </c>
    </row>
  </sheetData>
  <mergeCells count="2">
    <mergeCell ref="J19:P20"/>
    <mergeCell ref="J4:P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02E20-EDD6-4125-B44D-E70A35D6BA5F}">
  <dimension ref="A3:I18"/>
  <sheetViews>
    <sheetView zoomScale="190" zoomScaleNormal="190" workbookViewId="0">
      <selection activeCell="I6" sqref="I6"/>
    </sheetView>
  </sheetViews>
  <sheetFormatPr baseColWidth="10" defaultRowHeight="15" x14ac:dyDescent="0.25"/>
  <sheetData>
    <row r="3" spans="1:9" x14ac:dyDescent="0.25">
      <c r="A3" t="s">
        <v>87</v>
      </c>
      <c r="B3" s="10" t="s">
        <v>80</v>
      </c>
      <c r="C3" s="10" t="s">
        <v>81</v>
      </c>
      <c r="D3" s="67" t="s">
        <v>82</v>
      </c>
      <c r="E3" s="10" t="s">
        <v>83</v>
      </c>
      <c r="F3" s="10" t="s">
        <v>84</v>
      </c>
    </row>
    <row r="4" spans="1:9" x14ac:dyDescent="0.25">
      <c r="A4" t="s">
        <v>88</v>
      </c>
      <c r="B4" s="10">
        <v>20</v>
      </c>
      <c r="C4" s="10">
        <v>50</v>
      </c>
      <c r="D4" s="67">
        <v>40</v>
      </c>
      <c r="E4" s="10">
        <v>30</v>
      </c>
      <c r="F4" s="10">
        <v>12</v>
      </c>
    </row>
    <row r="5" spans="1:9" x14ac:dyDescent="0.25">
      <c r="H5" t="s">
        <v>2</v>
      </c>
      <c r="I5" t="s">
        <v>93</v>
      </c>
    </row>
    <row r="7" spans="1:9" x14ac:dyDescent="0.25">
      <c r="F7" t="s">
        <v>85</v>
      </c>
      <c r="G7" s="65" t="s">
        <v>89</v>
      </c>
    </row>
    <row r="8" spans="1:9" x14ac:dyDescent="0.25">
      <c r="B8" t="s">
        <v>87</v>
      </c>
      <c r="C8" t="s">
        <v>88</v>
      </c>
      <c r="G8" s="67">
        <f>MATCH(G7,B3:F3,0)</f>
        <v>3</v>
      </c>
      <c r="H8" s="66" t="s">
        <v>86</v>
      </c>
    </row>
    <row r="9" spans="1:9" x14ac:dyDescent="0.25">
      <c r="B9" t="s">
        <v>80</v>
      </c>
      <c r="C9">
        <v>20</v>
      </c>
    </row>
    <row r="10" spans="1:9" x14ac:dyDescent="0.25">
      <c r="B10" t="s">
        <v>81</v>
      </c>
      <c r="C10">
        <v>50</v>
      </c>
      <c r="F10" t="s">
        <v>87</v>
      </c>
      <c r="G10" s="67" t="str" cm="1">
        <f t="array" ref="G10">INDEX(B3:F3,1,G8)</f>
        <v>C</v>
      </c>
      <c r="I10" s="68" t="str">
        <f>INDEX(B3:F3,1,MATCH(G7,B3:F3,0))</f>
        <v>C</v>
      </c>
    </row>
    <row r="11" spans="1:9" x14ac:dyDescent="0.25">
      <c r="B11" t="s">
        <v>82</v>
      </c>
      <c r="C11">
        <v>40</v>
      </c>
      <c r="F11" t="s">
        <v>88</v>
      </c>
      <c r="G11" s="67" cm="1">
        <f t="array" ref="G11">INDEX(B4:F4,1,G8)</f>
        <v>40</v>
      </c>
      <c r="I11" s="68">
        <f>INDEX(B4:F4,1,MATCH(G7,B3:F3,0))</f>
        <v>40</v>
      </c>
    </row>
    <row r="12" spans="1:9" x14ac:dyDescent="0.25">
      <c r="B12" s="69" t="s">
        <v>83</v>
      </c>
      <c r="C12" s="69">
        <v>30</v>
      </c>
    </row>
    <row r="13" spans="1:9" x14ac:dyDescent="0.25">
      <c r="B13" t="s">
        <v>84</v>
      </c>
      <c r="C13">
        <v>12</v>
      </c>
    </row>
    <row r="14" spans="1:9" x14ac:dyDescent="0.25">
      <c r="F14" t="s">
        <v>85</v>
      </c>
      <c r="G14" s="65" t="s">
        <v>83</v>
      </c>
    </row>
    <row r="15" spans="1:9" x14ac:dyDescent="0.25">
      <c r="G15" s="32">
        <f>MATCH(G14,B9:B13,0)</f>
        <v>4</v>
      </c>
      <c r="H15" s="66" t="s">
        <v>86</v>
      </c>
    </row>
    <row r="17" spans="6:7" x14ac:dyDescent="0.25">
      <c r="F17" t="s">
        <v>87</v>
      </c>
      <c r="G17" s="32" t="str" cm="1">
        <f t="array" ref="G17">INDEX(B9:C13,G15,1)</f>
        <v>X</v>
      </c>
    </row>
    <row r="18" spans="6:7" x14ac:dyDescent="0.25">
      <c r="F18" t="s">
        <v>88</v>
      </c>
      <c r="G18" s="32" cm="1">
        <f t="array" ref="G18">INDEX(B9:C13,G15,2)</f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8F645-D0D5-4A14-A93B-15B13667B479}">
  <dimension ref="C5:N21"/>
  <sheetViews>
    <sheetView topLeftCell="B1" zoomScale="145" zoomScaleNormal="145" workbookViewId="0">
      <selection activeCell="M14" sqref="M14"/>
    </sheetView>
  </sheetViews>
  <sheetFormatPr baseColWidth="10" defaultRowHeight="15" x14ac:dyDescent="0.25"/>
  <cols>
    <col min="4" max="4" width="15.140625" customWidth="1"/>
    <col min="5" max="5" width="14.42578125" customWidth="1"/>
    <col min="6" max="6" width="22.140625" customWidth="1"/>
    <col min="7" max="7" width="15.5703125" customWidth="1"/>
    <col min="10" max="10" width="14.140625" style="10" customWidth="1"/>
  </cols>
  <sheetData>
    <row r="5" spans="3:12" x14ac:dyDescent="0.25">
      <c r="J5" s="66" t="s">
        <v>85</v>
      </c>
    </row>
    <row r="6" spans="3:12" x14ac:dyDescent="0.25">
      <c r="D6" s="38">
        <v>1</v>
      </c>
      <c r="E6" s="39">
        <v>2</v>
      </c>
      <c r="F6" s="39">
        <v>3</v>
      </c>
      <c r="G6" s="40">
        <v>4</v>
      </c>
    </row>
    <row r="7" spans="3:12" x14ac:dyDescent="0.25">
      <c r="C7" s="10" t="s">
        <v>60</v>
      </c>
      <c r="D7" s="63" t="s">
        <v>24</v>
      </c>
      <c r="E7" s="63" t="s">
        <v>23</v>
      </c>
      <c r="F7" s="63" t="s">
        <v>34</v>
      </c>
      <c r="G7" s="63" t="s">
        <v>35</v>
      </c>
      <c r="J7" s="10" t="s">
        <v>94</v>
      </c>
    </row>
    <row r="8" spans="3:12" x14ac:dyDescent="0.25">
      <c r="C8" s="34">
        <v>1</v>
      </c>
      <c r="D8" s="14" t="s">
        <v>25</v>
      </c>
      <c r="E8" s="72" t="s">
        <v>26</v>
      </c>
      <c r="F8" s="15" t="s">
        <v>36</v>
      </c>
      <c r="G8" s="61">
        <v>400</v>
      </c>
      <c r="I8" t="s">
        <v>25</v>
      </c>
      <c r="J8" s="10">
        <v>1</v>
      </c>
      <c r="L8">
        <f>MATCH(I8,$D$8:$D$21,0)</f>
        <v>1</v>
      </c>
    </row>
    <row r="9" spans="3:12" x14ac:dyDescent="0.25">
      <c r="C9" s="35">
        <v>2</v>
      </c>
      <c r="D9" s="14" t="s">
        <v>25</v>
      </c>
      <c r="E9" s="15" t="s">
        <v>26</v>
      </c>
      <c r="F9" s="15" t="s">
        <v>37</v>
      </c>
      <c r="G9" s="61">
        <v>600</v>
      </c>
      <c r="I9" t="s">
        <v>30</v>
      </c>
      <c r="J9" s="10">
        <v>9</v>
      </c>
      <c r="L9">
        <f>MATCH(I9,$D$8:$D$21,0)</f>
        <v>9</v>
      </c>
    </row>
    <row r="10" spans="3:12" x14ac:dyDescent="0.25">
      <c r="C10" s="35">
        <v>3</v>
      </c>
      <c r="D10" s="14" t="s">
        <v>25</v>
      </c>
      <c r="E10" s="70" t="s">
        <v>27</v>
      </c>
      <c r="F10" s="15" t="s">
        <v>38</v>
      </c>
      <c r="G10" s="61">
        <v>900</v>
      </c>
    </row>
    <row r="11" spans="3:12" x14ac:dyDescent="0.25">
      <c r="C11" s="35">
        <v>4</v>
      </c>
      <c r="D11" s="14" t="s">
        <v>25</v>
      </c>
      <c r="E11" s="15" t="s">
        <v>27</v>
      </c>
      <c r="F11" s="15" t="s">
        <v>39</v>
      </c>
      <c r="G11" s="61">
        <v>1200</v>
      </c>
      <c r="J11" s="10" t="s">
        <v>95</v>
      </c>
    </row>
    <row r="12" spans="3:12" x14ac:dyDescent="0.25">
      <c r="C12" s="35">
        <v>5</v>
      </c>
      <c r="D12" s="14" t="s">
        <v>25</v>
      </c>
      <c r="E12" s="73" t="s">
        <v>28</v>
      </c>
      <c r="F12" s="15" t="s">
        <v>40</v>
      </c>
      <c r="G12" s="61">
        <v>300</v>
      </c>
      <c r="I12" s="71" t="s">
        <v>26</v>
      </c>
      <c r="J12" s="10">
        <v>1</v>
      </c>
      <c r="L12">
        <f>MATCH(I12,$E$8:$E$21,0)</f>
        <v>1</v>
      </c>
    </row>
    <row r="13" spans="3:12" x14ac:dyDescent="0.25">
      <c r="C13" s="35">
        <v>6</v>
      </c>
      <c r="D13" s="14" t="s">
        <v>25</v>
      </c>
      <c r="E13" s="15" t="s">
        <v>28</v>
      </c>
      <c r="F13" s="15" t="s">
        <v>41</v>
      </c>
      <c r="G13" s="61">
        <v>200</v>
      </c>
      <c r="I13" s="69" t="s">
        <v>27</v>
      </c>
      <c r="J13" s="10">
        <v>3</v>
      </c>
      <c r="L13">
        <f t="shared" ref="L13:L15" si="0">MATCH(I13,$E$8:$E$21,0)</f>
        <v>3</v>
      </c>
    </row>
    <row r="14" spans="3:12" x14ac:dyDescent="0.25">
      <c r="C14" s="35">
        <v>7</v>
      </c>
      <c r="D14" s="14" t="s">
        <v>25</v>
      </c>
      <c r="E14" s="75" t="s">
        <v>29</v>
      </c>
      <c r="F14" s="15" t="s">
        <v>40</v>
      </c>
      <c r="G14" s="61">
        <v>700</v>
      </c>
      <c r="I14" s="74" t="s">
        <v>28</v>
      </c>
      <c r="J14" s="10">
        <v>5</v>
      </c>
      <c r="L14">
        <f t="shared" si="0"/>
        <v>5</v>
      </c>
    </row>
    <row r="15" spans="3:12" x14ac:dyDescent="0.25">
      <c r="C15" s="35">
        <v>8</v>
      </c>
      <c r="D15" s="14" t="s">
        <v>25</v>
      </c>
      <c r="E15" s="15" t="s">
        <v>29</v>
      </c>
      <c r="F15" s="15" t="s">
        <v>41</v>
      </c>
      <c r="G15" s="61">
        <v>400</v>
      </c>
      <c r="I15" s="12" t="s">
        <v>29</v>
      </c>
      <c r="J15" s="10">
        <v>7</v>
      </c>
      <c r="L15">
        <f t="shared" si="0"/>
        <v>7</v>
      </c>
    </row>
    <row r="16" spans="3:12" x14ac:dyDescent="0.25">
      <c r="C16" s="35">
        <v>9</v>
      </c>
      <c r="D16" s="14" t="s">
        <v>30</v>
      </c>
      <c r="E16" s="15" t="s">
        <v>31</v>
      </c>
      <c r="F16" s="15" t="s">
        <v>42</v>
      </c>
      <c r="G16" s="61">
        <v>18</v>
      </c>
    </row>
    <row r="17" spans="3:14" x14ac:dyDescent="0.25">
      <c r="C17" s="35">
        <v>10</v>
      </c>
      <c r="D17" s="14" t="s">
        <v>30</v>
      </c>
      <c r="E17" s="15" t="s">
        <v>31</v>
      </c>
      <c r="F17" s="15" t="s">
        <v>43</v>
      </c>
      <c r="G17" s="61">
        <v>60</v>
      </c>
      <c r="J17" s="10" t="s">
        <v>96</v>
      </c>
    </row>
    <row r="18" spans="3:14" x14ac:dyDescent="0.25">
      <c r="C18" s="35">
        <v>11</v>
      </c>
      <c r="D18" s="14" t="s">
        <v>30</v>
      </c>
      <c r="E18" s="15" t="s">
        <v>32</v>
      </c>
      <c r="F18" s="15" t="s">
        <v>44</v>
      </c>
      <c r="G18" s="61">
        <v>30</v>
      </c>
      <c r="I18" s="76">
        <v>500</v>
      </c>
      <c r="J18" s="10">
        <v>1</v>
      </c>
      <c r="K18" s="10">
        <v>8</v>
      </c>
      <c r="M18" s="10">
        <f>MATCH(I18,$G$8:$G$21,1)</f>
        <v>1</v>
      </c>
      <c r="N18" s="10" t="e">
        <f>MATCH(I18,$G$8:$G$21,-1)</f>
        <v>#N/A</v>
      </c>
    </row>
    <row r="19" spans="3:14" x14ac:dyDescent="0.25">
      <c r="C19" s="35">
        <v>12</v>
      </c>
      <c r="D19" s="14" t="s">
        <v>30</v>
      </c>
      <c r="E19" s="15" t="s">
        <v>32</v>
      </c>
      <c r="F19" s="15" t="s">
        <v>45</v>
      </c>
      <c r="G19" s="61">
        <v>22</v>
      </c>
      <c r="I19" s="76">
        <v>1000</v>
      </c>
      <c r="J19" s="10">
        <v>3</v>
      </c>
      <c r="K19" s="10">
        <v>3</v>
      </c>
      <c r="M19" s="10">
        <f>MATCH(I19,$G$8:$G$21,1)</f>
        <v>14</v>
      </c>
      <c r="N19" s="10" t="e">
        <f t="shared" ref="N19:N20" si="1">MATCH(I19,$G$8:$G$21,-1)</f>
        <v>#N/A</v>
      </c>
    </row>
    <row r="20" spans="3:14" x14ac:dyDescent="0.25">
      <c r="C20" s="35">
        <v>13</v>
      </c>
      <c r="D20" s="14" t="s">
        <v>30</v>
      </c>
      <c r="E20" s="15" t="s">
        <v>33</v>
      </c>
      <c r="F20" s="15" t="s">
        <v>47</v>
      </c>
      <c r="G20" s="61">
        <v>28</v>
      </c>
      <c r="I20" s="56">
        <v>0</v>
      </c>
      <c r="J20" s="10" t="e">
        <v>#N/A</v>
      </c>
      <c r="K20" s="10" t="e">
        <v>#N/A</v>
      </c>
      <c r="M20" s="10" t="e">
        <f>MATCH(I20,$G$8:$G$21,1)</f>
        <v>#N/A</v>
      </c>
      <c r="N20" s="10">
        <f t="shared" si="1"/>
        <v>14</v>
      </c>
    </row>
    <row r="21" spans="3:14" x14ac:dyDescent="0.25">
      <c r="C21" s="36">
        <v>14</v>
      </c>
      <c r="D21" s="17" t="s">
        <v>30</v>
      </c>
      <c r="E21" s="18" t="s">
        <v>33</v>
      </c>
      <c r="F21" s="18" t="s">
        <v>46</v>
      </c>
      <c r="G21" s="62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DA83-7577-4A09-A05C-6F0966B57EFE}">
  <dimension ref="A3:I22"/>
  <sheetViews>
    <sheetView tabSelected="1" topLeftCell="A4" zoomScale="175" zoomScaleNormal="175" workbookViewId="0">
      <selection activeCell="J13" sqref="J13"/>
    </sheetView>
  </sheetViews>
  <sheetFormatPr baseColWidth="10" defaultRowHeight="15" x14ac:dyDescent="0.25"/>
  <cols>
    <col min="7" max="7" width="14.140625" customWidth="1"/>
  </cols>
  <sheetData>
    <row r="3" spans="1:9" x14ac:dyDescent="0.25">
      <c r="B3" t="s">
        <v>97</v>
      </c>
      <c r="F3" t="s">
        <v>98</v>
      </c>
    </row>
    <row r="5" spans="1:9" x14ac:dyDescent="0.25">
      <c r="B5" t="s">
        <v>34</v>
      </c>
      <c r="C5" t="s">
        <v>35</v>
      </c>
      <c r="E5" t="s">
        <v>60</v>
      </c>
      <c r="F5" t="s">
        <v>34</v>
      </c>
      <c r="G5" t="s">
        <v>24</v>
      </c>
      <c r="H5" t="s">
        <v>99</v>
      </c>
      <c r="I5" s="66" t="s">
        <v>35</v>
      </c>
    </row>
    <row r="6" spans="1:9" x14ac:dyDescent="0.25">
      <c r="B6" t="s">
        <v>80</v>
      </c>
      <c r="C6" t="s">
        <v>100</v>
      </c>
      <c r="E6">
        <v>1</v>
      </c>
      <c r="F6" t="s">
        <v>82</v>
      </c>
      <c r="G6" t="s">
        <v>102</v>
      </c>
      <c r="H6">
        <v>0.8</v>
      </c>
      <c r="I6" s="66" t="str" cm="1">
        <f t="array" ref="I6">INDEX($B$16:$D$22,E6,3)</f>
        <v>$300</v>
      </c>
    </row>
    <row r="7" spans="1:9" x14ac:dyDescent="0.25">
      <c r="B7" t="s">
        <v>81</v>
      </c>
      <c r="C7" t="s">
        <v>53</v>
      </c>
      <c r="E7">
        <v>2</v>
      </c>
      <c r="F7" t="s">
        <v>81</v>
      </c>
      <c r="G7" t="s">
        <v>102</v>
      </c>
      <c r="H7">
        <v>0.7</v>
      </c>
      <c r="I7" s="66" t="str" cm="1">
        <f t="array" ref="I7">INDEX($B$16:$D$22,E7,3)</f>
        <v>$200</v>
      </c>
    </row>
    <row r="8" spans="1:9" x14ac:dyDescent="0.25">
      <c r="B8" t="s">
        <v>82</v>
      </c>
      <c r="C8" t="s">
        <v>52</v>
      </c>
      <c r="E8">
        <v>3</v>
      </c>
      <c r="F8" t="s">
        <v>82</v>
      </c>
      <c r="G8" t="s">
        <v>102</v>
      </c>
      <c r="H8">
        <v>0.9</v>
      </c>
      <c r="I8" s="66" t="str" cm="1">
        <f t="array" ref="I8">INDEX($B$16:$D$22,E8,3)</f>
        <v>$300</v>
      </c>
    </row>
    <row r="9" spans="1:9" x14ac:dyDescent="0.25">
      <c r="B9" t="s">
        <v>83</v>
      </c>
      <c r="C9" t="s">
        <v>48</v>
      </c>
      <c r="E9">
        <v>4</v>
      </c>
      <c r="F9" t="s">
        <v>80</v>
      </c>
      <c r="G9" t="s">
        <v>103</v>
      </c>
      <c r="H9">
        <v>0.4</v>
      </c>
      <c r="I9" s="66" t="str" cm="1">
        <f t="array" ref="I9">INDEX($B$16:$D$22,E9,3)</f>
        <v>$100</v>
      </c>
    </row>
    <row r="10" spans="1:9" x14ac:dyDescent="0.25">
      <c r="B10" t="s">
        <v>84</v>
      </c>
      <c r="C10" t="s">
        <v>101</v>
      </c>
      <c r="E10">
        <v>5</v>
      </c>
      <c r="F10" t="s">
        <v>80</v>
      </c>
      <c r="G10" t="s">
        <v>103</v>
      </c>
      <c r="H10">
        <v>0.6</v>
      </c>
      <c r="I10" s="66" t="str" cm="1">
        <f t="array" ref="I10">INDEX($B$16:$D$22,E10,3)</f>
        <v>$100</v>
      </c>
    </row>
    <row r="11" spans="1:9" x14ac:dyDescent="0.25">
      <c r="E11">
        <v>6</v>
      </c>
      <c r="F11" t="s">
        <v>80</v>
      </c>
      <c r="G11" t="s">
        <v>103</v>
      </c>
      <c r="H11">
        <v>0.5</v>
      </c>
      <c r="I11" s="66" t="str" cm="1">
        <f t="array" ref="I11">INDEX($B$16:$D$22,E11,3)</f>
        <v>$100</v>
      </c>
    </row>
    <row r="12" spans="1:9" x14ac:dyDescent="0.25">
      <c r="E12">
        <v>7</v>
      </c>
      <c r="F12" t="s">
        <v>83</v>
      </c>
      <c r="G12" t="s">
        <v>103</v>
      </c>
      <c r="H12">
        <v>0.3</v>
      </c>
      <c r="I12" s="66" t="str" cm="1">
        <f t="array" ref="I12">INDEX($B$16:$D$22,E12,3)</f>
        <v>$400</v>
      </c>
    </row>
    <row r="14" spans="1:9" x14ac:dyDescent="0.25">
      <c r="B14" t="s">
        <v>104</v>
      </c>
    </row>
    <row r="15" spans="1:9" x14ac:dyDescent="0.25">
      <c r="A15" t="s">
        <v>60</v>
      </c>
    </row>
    <row r="16" spans="1:9" x14ac:dyDescent="0.25">
      <c r="A16">
        <v>1</v>
      </c>
      <c r="B16" t="str" cm="1">
        <f t="array" ref="B16">INDEX(F6:$H$12,$A$16,1)</f>
        <v>C</v>
      </c>
      <c r="C16" s="10">
        <f>MATCH(B16,$B$6:$B$10,0)</f>
        <v>3</v>
      </c>
      <c r="D16" t="str" cm="1">
        <f t="array" ref="D16">INDEX($B$6:$C$10,C16,2)</f>
        <v>$300</v>
      </c>
    </row>
    <row r="17" spans="1:4" x14ac:dyDescent="0.25">
      <c r="A17">
        <v>2</v>
      </c>
      <c r="B17" t="str" cm="1">
        <f t="array" ref="B17">INDEX(F7:$H$12,$A$16,1)</f>
        <v>B</v>
      </c>
      <c r="C17" s="10">
        <f t="shared" ref="C17:C22" si="0">MATCH(B17,$B$6:$B$10,0)</f>
        <v>2</v>
      </c>
      <c r="D17" t="str" cm="1">
        <f t="array" ref="D17">INDEX($B$6:$C$10,C17,2)</f>
        <v>$200</v>
      </c>
    </row>
    <row r="18" spans="1:4" x14ac:dyDescent="0.25">
      <c r="A18">
        <v>3</v>
      </c>
      <c r="B18" t="str" cm="1">
        <f t="array" ref="B18">INDEX(F8:$H$12,$A$16,1)</f>
        <v>C</v>
      </c>
      <c r="C18" s="10">
        <f t="shared" si="0"/>
        <v>3</v>
      </c>
      <c r="D18" t="str" cm="1">
        <f t="array" ref="D18">INDEX($B$6:$C$10,C18,2)</f>
        <v>$300</v>
      </c>
    </row>
    <row r="19" spans="1:4" x14ac:dyDescent="0.25">
      <c r="A19">
        <v>4</v>
      </c>
      <c r="B19" t="str" cm="1">
        <f t="array" ref="B19">INDEX(F9:$H$12,$A$16,1)</f>
        <v>A</v>
      </c>
      <c r="C19" s="10">
        <f t="shared" si="0"/>
        <v>1</v>
      </c>
      <c r="D19" t="str" cm="1">
        <f t="array" ref="D19">INDEX($B$6:$C$10,C19,2)</f>
        <v>$100</v>
      </c>
    </row>
    <row r="20" spans="1:4" x14ac:dyDescent="0.25">
      <c r="A20">
        <v>5</v>
      </c>
      <c r="B20" t="str" cm="1">
        <f t="array" ref="B20">INDEX(F10:$H$12,$A$16,1)</f>
        <v>A</v>
      </c>
      <c r="C20" s="10">
        <f t="shared" si="0"/>
        <v>1</v>
      </c>
      <c r="D20" t="str" cm="1">
        <f t="array" ref="D20">INDEX($B$6:$C$10,C20,2)</f>
        <v>$100</v>
      </c>
    </row>
    <row r="21" spans="1:4" x14ac:dyDescent="0.25">
      <c r="A21">
        <v>6</v>
      </c>
      <c r="B21" t="str" cm="1">
        <f t="array" ref="B21">INDEX(F11:$H$12,$A$16,1)</f>
        <v>A</v>
      </c>
      <c r="C21" s="10">
        <f t="shared" si="0"/>
        <v>1</v>
      </c>
      <c r="D21" t="str" cm="1">
        <f t="array" ref="D21">INDEX($B$6:$C$10,C21,2)</f>
        <v>$100</v>
      </c>
    </row>
    <row r="22" spans="1:4" x14ac:dyDescent="0.25">
      <c r="A22">
        <v>7</v>
      </c>
      <c r="B22" t="str" cm="1">
        <f t="array" ref="B22">INDEX(F12:$H$12,$A$16,1)</f>
        <v>X</v>
      </c>
      <c r="C22" s="10">
        <f t="shared" si="0"/>
        <v>4</v>
      </c>
      <c r="D22" t="str" cm="1">
        <f t="array" ref="D22">INDEX($B$6:$C$10,C22,2)</f>
        <v>$400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Fórmulas importantes</vt:lpstr>
      <vt:lpstr>Ejemplo 1</vt:lpstr>
      <vt:lpstr>Ejercicio 1</vt:lpstr>
      <vt:lpstr>Coincidir</vt:lpstr>
      <vt:lpstr>Ejemplo 2</vt:lpstr>
      <vt:lpstr>Cruce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2026-07-07T21:08:13Z</dcterms:created>
  <dcterms:modified xsi:type="dcterms:W3CDTF">2026-07-07T23:04:34Z</dcterms:modified>
</cp:coreProperties>
</file>