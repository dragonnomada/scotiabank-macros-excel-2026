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urso Macros Excel - Scotiabank 2026\Grupo 2\"/>
    </mc:Choice>
  </mc:AlternateContent>
  <xr:revisionPtr revIDLastSave="0" documentId="13_ncr:1_{02B8FEBD-0E96-4B53-9754-EE4A808D6D5F}" xr6:coauthVersionLast="47" xr6:coauthVersionMax="47" xr10:uidLastSave="{00000000-0000-0000-0000-000000000000}"/>
  <bookViews>
    <workbookView xWindow="-120" yWindow="-120" windowWidth="29040" windowHeight="15720" activeTab="1" xr2:uid="{B96822F2-CFED-41CC-B5C6-6183B02DC619}"/>
  </bookViews>
  <sheets>
    <sheet name="Consultar y Resumir VBA" sheetId="1" r:id="rId1"/>
    <sheet name="Desglose de Información VBA" sheetId="2" r:id="rId2"/>
  </sheets>
  <definedNames>
    <definedName name="_xleta.FILTER" hidden="1" xlm="1">#NAME?</definedName>
    <definedName name="_xleta.LAR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9" i="1" l="1"/>
  <c r="J14" i="1"/>
  <c r="J15" i="1"/>
  <c r="J16" i="1"/>
  <c r="J17" i="1"/>
  <c r="J18" i="1"/>
  <c r="I14" i="1"/>
  <c r="I15" i="1"/>
  <c r="I16" i="1"/>
  <c r="I17" i="1"/>
  <c r="I18" i="1"/>
  <c r="I11" i="1"/>
  <c r="I10" i="1"/>
  <c r="K7" i="1"/>
  <c r="J7" i="1"/>
  <c r="I7" i="1"/>
  <c r="H7" i="1"/>
  <c r="F6" i="1"/>
</calcChain>
</file>

<file path=xl/sharedStrings.xml><?xml version="1.0" encoding="utf-8"?>
<sst xmlns="http://schemas.openxmlformats.org/spreadsheetml/2006/main" count="99" uniqueCount="46">
  <si>
    <t>Nombre</t>
  </si>
  <si>
    <t>Empleados</t>
  </si>
  <si>
    <t>Salario</t>
  </si>
  <si>
    <t>Amelie</t>
  </si>
  <si>
    <t>Braulio</t>
  </si>
  <si>
    <t>Carina</t>
  </si>
  <si>
    <t>Damian</t>
  </si>
  <si>
    <t>Total</t>
  </si>
  <si>
    <t>Tableros estáticos</t>
  </si>
  <si>
    <t>Tableros dinámicos</t>
  </si>
  <si>
    <t>Mínimo</t>
  </si>
  <si>
    <t>Promedio</t>
  </si>
  <si>
    <t>Máximo</t>
  </si>
  <si>
    <t>Reporte de Salarios de Empleados</t>
  </si>
  <si>
    <t>Q1 (25%)</t>
  </si>
  <si>
    <t>Q2 (50%)</t>
  </si>
  <si>
    <t>Mayor</t>
  </si>
  <si>
    <t>Menor</t>
  </si>
  <si>
    <t>Q3 (75%)</t>
  </si>
  <si>
    <t>Suma</t>
  </si>
  <si>
    <t>&lt; 25% | &gt; 75%</t>
  </si>
  <si>
    <t>&lt; 50% | &gt; 50%</t>
  </si>
  <si>
    <t>&lt; 75% | &gt; 25%</t>
  </si>
  <si>
    <t>Ely</t>
  </si>
  <si>
    <t>Faby</t>
  </si>
  <si>
    <t>Tienda departamental</t>
  </si>
  <si>
    <t>Departamento</t>
  </si>
  <si>
    <t>Producto</t>
  </si>
  <si>
    <t>Total de Venta</t>
  </si>
  <si>
    <t>Ventas de Productos</t>
  </si>
  <si>
    <t>A</t>
  </si>
  <si>
    <t>B</t>
  </si>
  <si>
    <t>C</t>
  </si>
  <si>
    <t>D</t>
  </si>
  <si>
    <t>E</t>
  </si>
  <si>
    <t>X</t>
  </si>
  <si>
    <t>Proveedor</t>
  </si>
  <si>
    <t>Y</t>
  </si>
  <si>
    <t>Tipo Cliente</t>
  </si>
  <si>
    <t>H</t>
  </si>
  <si>
    <t>M</t>
  </si>
  <si>
    <t>R</t>
  </si>
  <si>
    <t>S</t>
  </si>
  <si>
    <t>T</t>
  </si>
  <si>
    <t>T. Cliente</t>
  </si>
  <si>
    <t>Tipo de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</si>
</sst>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80A]* #,##0.00_-;\-[$$-80A]* #,##0.00_-;_-[$$-80A]* &quot;-&quot;??_-;_-@_-"/>
  </numFmts>
  <fonts count="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Font="0" applyAlignment="0" applyProtection="0"/>
  </cellStyleXfs>
  <cellXfs count="2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164" fontId="0" fillId="0" borderId="0" xfId="0" applyNumberFormat="1"/>
    <xf numFmtId="0" fontId="0" fillId="0" borderId="3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5" xfId="1" applyFont="1" applyBorder="1" applyAlignment="1">
      <alignment horizontal="center"/>
    </xf>
    <xf numFmtId="0" fontId="0" fillId="2" borderId="6" xfId="1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0" fontId="0" fillId="5" borderId="4" xfId="0" applyFill="1" applyBorder="1"/>
    <xf numFmtId="164" fontId="0" fillId="6" borderId="4" xfId="0" applyNumberFormat="1" applyFill="1" applyBorder="1"/>
    <xf numFmtId="164" fontId="0" fillId="6" borderId="7" xfId="0" applyNumberFormat="1" applyFill="1" applyBorder="1" applyAlignment="1">
      <alignment horizontal="center"/>
    </xf>
    <xf numFmtId="164" fontId="0" fillId="6" borderId="8" xfId="0" applyNumberFormat="1" applyFill="1" applyBorder="1" applyAlignment="1">
      <alignment horizontal="center"/>
    </xf>
    <xf numFmtId="0" fontId="0" fillId="0" borderId="0" xfId="0" applyAlignment="1"/>
  </cellXfs>
  <cellStyles count="2">
    <cellStyle name="Normal" xfId="0" builtinId="0"/>
    <cellStyle name="Notas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828018</xdr:colOff>
          <xdr:row>16</xdr:row>
          <xdr:rowOff>171450</xdr:rowOff>
        </xdr:from>
        <xdr:to>
          <xdr:col>11</xdr:col>
          <xdr:colOff>494643</xdr:colOff>
          <xdr:row>18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419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BEF76-F36E-4DCD-AE86-13D16A5303D9}">
  <sheetPr codeName="Hoja1"/>
  <dimension ref="C3:L24"/>
  <sheetViews>
    <sheetView zoomScale="130" zoomScaleNormal="130" workbookViewId="0">
      <selection activeCell="O26" sqref="O26"/>
    </sheetView>
  </sheetViews>
  <sheetFormatPr baseColWidth="10" defaultRowHeight="15" x14ac:dyDescent="0.25"/>
  <cols>
    <col min="4" max="4" width="15.7109375" customWidth="1"/>
    <col min="8" max="8" width="13.5703125" style="1" customWidth="1"/>
    <col min="9" max="9" width="12.5703125" style="1" customWidth="1"/>
    <col min="10" max="10" width="13.7109375" style="1" customWidth="1"/>
    <col min="11" max="11" width="18.42578125" customWidth="1"/>
  </cols>
  <sheetData>
    <row r="3" spans="3:12" ht="15.75" thickBot="1" x14ac:dyDescent="0.3">
      <c r="C3" s="3" t="s">
        <v>1</v>
      </c>
      <c r="D3" s="3"/>
      <c r="F3" s="10" t="s">
        <v>13</v>
      </c>
      <c r="G3" s="10"/>
      <c r="H3" s="10"/>
      <c r="I3" s="10"/>
      <c r="J3" s="10"/>
      <c r="K3" s="10"/>
      <c r="L3" s="10"/>
    </row>
    <row r="4" spans="3:12" x14ac:dyDescent="0.25">
      <c r="F4" s="16"/>
      <c r="G4" s="16"/>
      <c r="H4" s="17"/>
      <c r="I4" s="17"/>
      <c r="J4" s="17"/>
      <c r="K4" s="16"/>
      <c r="L4" s="16"/>
    </row>
    <row r="5" spans="3:12" x14ac:dyDescent="0.25">
      <c r="C5" s="4" t="s">
        <v>0</v>
      </c>
      <c r="D5" s="6" t="s">
        <v>2</v>
      </c>
      <c r="F5" s="12" t="s">
        <v>7</v>
      </c>
      <c r="G5" s="16"/>
      <c r="H5" s="11" t="s">
        <v>2</v>
      </c>
      <c r="I5" s="11"/>
      <c r="J5" s="11"/>
      <c r="K5" s="11"/>
      <c r="L5" s="16"/>
    </row>
    <row r="6" spans="3:12" x14ac:dyDescent="0.25">
      <c r="C6" t="s">
        <v>3</v>
      </c>
      <c r="D6" s="7">
        <v>15000</v>
      </c>
      <c r="F6" s="15">
        <f>COUNTA(C6:C11)</f>
        <v>6</v>
      </c>
      <c r="G6" s="16"/>
      <c r="H6" s="13" t="s">
        <v>10</v>
      </c>
      <c r="I6" s="13" t="s">
        <v>11</v>
      </c>
      <c r="J6" s="13" t="s">
        <v>12</v>
      </c>
      <c r="K6" s="19" t="s">
        <v>19</v>
      </c>
      <c r="L6" s="16"/>
    </row>
    <row r="7" spans="3:12" x14ac:dyDescent="0.25">
      <c r="C7" t="s">
        <v>4</v>
      </c>
      <c r="D7" s="7">
        <v>16000</v>
      </c>
      <c r="F7" s="16"/>
      <c r="G7" s="16"/>
      <c r="H7" s="18">
        <f>MIN(D6:D11)</f>
        <v>15000</v>
      </c>
      <c r="I7" s="18">
        <f>AVERAGE(D6:D11)</f>
        <v>17666.666666666668</v>
      </c>
      <c r="J7" s="18">
        <f>MAX(D6:D11)</f>
        <v>21000</v>
      </c>
      <c r="K7" s="20">
        <f>SUM(D6:D11)</f>
        <v>106000</v>
      </c>
      <c r="L7" s="16"/>
    </row>
    <row r="8" spans="3:12" x14ac:dyDescent="0.25">
      <c r="C8" t="s">
        <v>5</v>
      </c>
      <c r="D8" s="7">
        <v>18000</v>
      </c>
      <c r="F8" s="16"/>
      <c r="G8" s="16"/>
      <c r="H8" s="17"/>
      <c r="I8" s="17"/>
      <c r="J8" s="17"/>
      <c r="K8" s="16"/>
      <c r="L8" s="16"/>
    </row>
    <row r="9" spans="3:12" x14ac:dyDescent="0.25">
      <c r="C9" t="s">
        <v>6</v>
      </c>
      <c r="D9" s="7">
        <v>17000</v>
      </c>
      <c r="F9" s="16"/>
      <c r="G9" s="16"/>
      <c r="H9" s="13" t="s">
        <v>14</v>
      </c>
      <c r="I9" s="21">
        <f>_xlfn.PERCENTILE.INC(D6:D11, 0.25)</f>
        <v>16250</v>
      </c>
      <c r="J9" s="22"/>
      <c r="K9" s="17" t="s">
        <v>20</v>
      </c>
      <c r="L9" s="16"/>
    </row>
    <row r="10" spans="3:12" x14ac:dyDescent="0.25">
      <c r="C10" t="s">
        <v>23</v>
      </c>
      <c r="D10" s="5">
        <v>21000</v>
      </c>
      <c r="F10" s="16"/>
      <c r="G10" s="16"/>
      <c r="H10" s="13" t="s">
        <v>15</v>
      </c>
      <c r="I10" s="21">
        <f>_xlfn.PERCENTILE.INC(D6:D11, 0.5)</f>
        <v>17500</v>
      </c>
      <c r="J10" s="22"/>
      <c r="K10" s="17" t="s">
        <v>21</v>
      </c>
      <c r="L10" s="16"/>
    </row>
    <row r="11" spans="3:12" x14ac:dyDescent="0.25">
      <c r="C11" t="s">
        <v>24</v>
      </c>
      <c r="D11" s="7">
        <v>19000</v>
      </c>
      <c r="F11" s="16"/>
      <c r="G11" s="16"/>
      <c r="H11" s="13" t="s">
        <v>18</v>
      </c>
      <c r="I11" s="21">
        <f>_xlfn.PERCENTILE.INC(D6:D11, 0.75)</f>
        <v>18750</v>
      </c>
      <c r="J11" s="22"/>
      <c r="K11" s="17" t="s">
        <v>22</v>
      </c>
      <c r="L11" s="16"/>
    </row>
    <row r="12" spans="3:12" x14ac:dyDescent="0.25">
      <c r="F12" s="16"/>
      <c r="G12" s="16"/>
      <c r="H12" s="17"/>
      <c r="I12" s="17"/>
      <c r="J12" s="17"/>
      <c r="K12" s="16"/>
      <c r="L12" s="16"/>
    </row>
    <row r="13" spans="3:12" x14ac:dyDescent="0.25">
      <c r="F13" s="16"/>
      <c r="G13" s="16"/>
      <c r="H13" s="17"/>
      <c r="I13" s="14" t="s">
        <v>16</v>
      </c>
      <c r="J13" s="14" t="s">
        <v>17</v>
      </c>
      <c r="K13" s="16"/>
      <c r="L13" s="16"/>
    </row>
    <row r="14" spans="3:12" x14ac:dyDescent="0.25">
      <c r="F14" s="16"/>
      <c r="G14" s="16"/>
      <c r="H14" s="13">
        <v>1</v>
      </c>
      <c r="I14" s="15" t="str">
        <f t="shared" ref="I14:I18" si="0">IFERROR(INDEX($C$6:$D$11,MATCH(LARGE($D$6:$D$11, H14),$D$6:$D$11,0),1),"-")</f>
        <v>Ely</v>
      </c>
      <c r="J14" s="15" t="str">
        <f t="shared" ref="J14:J18" si="1">IFERROR(INDEX($C$6:$D$11,MATCH(SMALL($D$6:$D$11, H14),$D$6:$D$11,0),1),"-")</f>
        <v>Amelie</v>
      </c>
      <c r="K14" s="16"/>
      <c r="L14" s="16"/>
    </row>
    <row r="15" spans="3:12" x14ac:dyDescent="0.25">
      <c r="F15" s="16"/>
      <c r="G15" s="16"/>
      <c r="H15" s="13">
        <v>2</v>
      </c>
      <c r="I15" s="15" t="str">
        <f t="shared" si="0"/>
        <v>Faby</v>
      </c>
      <c r="J15" s="15" t="str">
        <f t="shared" si="1"/>
        <v>Braulio</v>
      </c>
      <c r="K15" s="16"/>
      <c r="L15" s="16"/>
    </row>
    <row r="16" spans="3:12" x14ac:dyDescent="0.25">
      <c r="F16" s="16"/>
      <c r="G16" s="16"/>
      <c r="H16" s="13">
        <v>3</v>
      </c>
      <c r="I16" s="15" t="str">
        <f t="shared" si="0"/>
        <v>Carina</v>
      </c>
      <c r="J16" s="15" t="str">
        <f t="shared" si="1"/>
        <v>Damian</v>
      </c>
      <c r="K16" s="16"/>
      <c r="L16" s="16"/>
    </row>
    <row r="17" spans="6:12" x14ac:dyDescent="0.25">
      <c r="F17" s="16"/>
      <c r="G17" s="16"/>
      <c r="H17" s="13">
        <v>4</v>
      </c>
      <c r="I17" s="15" t="str">
        <f t="shared" si="0"/>
        <v>Damian</v>
      </c>
      <c r="J17" s="15" t="str">
        <f t="shared" si="1"/>
        <v>Carina</v>
      </c>
      <c r="K17" s="16"/>
      <c r="L17" s="16"/>
    </row>
    <row r="18" spans="6:12" x14ac:dyDescent="0.25">
      <c r="F18" s="16"/>
      <c r="G18" s="16"/>
      <c r="H18" s="13">
        <v>5</v>
      </c>
      <c r="I18" s="15" t="str">
        <f t="shared" si="0"/>
        <v>Braulio</v>
      </c>
      <c r="J18" s="15" t="str">
        <f t="shared" si="1"/>
        <v>Faby</v>
      </c>
      <c r="K18" s="16"/>
      <c r="L18" s="16"/>
    </row>
    <row r="19" spans="6:12" x14ac:dyDescent="0.25">
      <c r="F19" s="16"/>
      <c r="G19" s="16"/>
      <c r="H19" s="17"/>
      <c r="I19" s="17"/>
      <c r="J19" s="17"/>
      <c r="K19" s="16"/>
      <c r="L19" s="16"/>
    </row>
    <row r="20" spans="6:12" x14ac:dyDescent="0.25">
      <c r="F20" s="8" t="s">
        <v>8</v>
      </c>
      <c r="G20" s="9"/>
    </row>
    <row r="24" spans="6:12" x14ac:dyDescent="0.25">
      <c r="F24" s="8" t="s">
        <v>9</v>
      </c>
      <c r="G24" s="9"/>
    </row>
  </sheetData>
  <mergeCells count="8">
    <mergeCell ref="I10:J10"/>
    <mergeCell ref="I11:J11"/>
    <mergeCell ref="H5:K5"/>
    <mergeCell ref="C3:D3"/>
    <mergeCell ref="F20:G20"/>
    <mergeCell ref="F24:G24"/>
    <mergeCell ref="I9:J9"/>
    <mergeCell ref="F3:L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ctualizarReporteSalarios">
                <anchor moveWithCells="1" sizeWithCells="1">
                  <from>
                    <xdr:col>10</xdr:col>
                    <xdr:colOff>828675</xdr:colOff>
                    <xdr:row>16</xdr:row>
                    <xdr:rowOff>171450</xdr:rowOff>
                  </from>
                  <to>
                    <xdr:col>11</xdr:col>
                    <xdr:colOff>495300</xdr:colOff>
                    <xdr:row>18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72A3C-B514-45EB-AC7C-B632BE4F62DC}">
  <dimension ref="B2:V17"/>
  <sheetViews>
    <sheetView tabSelected="1" topLeftCell="E1" zoomScale="130" zoomScaleNormal="130" workbookViewId="0">
      <selection activeCell="M13" sqref="M13"/>
    </sheetView>
  </sheetViews>
  <sheetFormatPr baseColWidth="10" defaultRowHeight="15" x14ac:dyDescent="0.25"/>
  <cols>
    <col min="2" max="2" width="14.140625" customWidth="1"/>
    <col min="3" max="3" width="16.28515625" customWidth="1"/>
    <col min="6" max="6" width="13" customWidth="1"/>
    <col min="9" max="9" width="11.42578125" style="1"/>
    <col min="22" max="22" width="14" customWidth="1"/>
  </cols>
  <sheetData>
    <row r="2" spans="2:22" x14ac:dyDescent="0.25">
      <c r="H2" t="s">
        <v>28</v>
      </c>
      <c r="J2" s="2" t="s">
        <v>26</v>
      </c>
      <c r="K2" s="2"/>
      <c r="L2" s="2"/>
      <c r="M2" s="2"/>
      <c r="N2" s="2"/>
      <c r="O2" s="2" t="s">
        <v>36</v>
      </c>
      <c r="P2" s="2"/>
      <c r="Q2" s="2" t="s">
        <v>44</v>
      </c>
      <c r="R2" s="2"/>
      <c r="S2" s="2" t="s">
        <v>45</v>
      </c>
      <c r="T2" s="2"/>
      <c r="U2" s="2"/>
    </row>
    <row r="3" spans="2:22" x14ac:dyDescent="0.25">
      <c r="B3" t="s">
        <v>25</v>
      </c>
      <c r="D3" t="s">
        <v>29</v>
      </c>
      <c r="J3" s="1" t="s">
        <v>30</v>
      </c>
      <c r="K3" s="1" t="s">
        <v>31</v>
      </c>
      <c r="L3" s="1" t="s">
        <v>32</v>
      </c>
      <c r="M3" s="1" t="s">
        <v>33</v>
      </c>
      <c r="N3" s="1" t="s">
        <v>34</v>
      </c>
      <c r="O3" s="1" t="s">
        <v>35</v>
      </c>
      <c r="P3" s="1" t="s">
        <v>37</v>
      </c>
      <c r="Q3" s="1" t="s">
        <v>39</v>
      </c>
      <c r="R3" s="1" t="s">
        <v>40</v>
      </c>
      <c r="S3" s="1" t="s">
        <v>41</v>
      </c>
      <c r="T3" s="1" t="s">
        <v>42</v>
      </c>
      <c r="U3" s="1" t="s">
        <v>43</v>
      </c>
      <c r="V3" s="1" t="s">
        <v>28</v>
      </c>
    </row>
    <row r="4" spans="2:22" x14ac:dyDescent="0.25">
      <c r="H4" s="1"/>
      <c r="J4" s="23">
        <v>0</v>
      </c>
      <c r="K4" s="23">
        <v>0</v>
      </c>
      <c r="L4" s="23">
        <v>0</v>
      </c>
      <c r="M4" s="23">
        <v>0</v>
      </c>
      <c r="N4" s="23">
        <v>0</v>
      </c>
      <c r="O4" s="23">
        <v>0</v>
      </c>
      <c r="P4" s="23">
        <v>0</v>
      </c>
      <c r="Q4" s="23">
        <v>0</v>
      </c>
      <c r="R4" s="23">
        <v>0</v>
      </c>
      <c r="S4" s="23">
        <v>1</v>
      </c>
      <c r="T4" s="23">
        <v>0</v>
      </c>
      <c r="U4" s="23">
        <v>0</v>
      </c>
    </row>
    <row r="5" spans="2:22" x14ac:dyDescent="0.25">
      <c r="B5" s="1" t="s">
        <v>26</v>
      </c>
      <c r="C5" s="1" t="s">
        <v>36</v>
      </c>
      <c r="D5" s="1" t="s">
        <v>38</v>
      </c>
      <c r="E5" s="1" t="s">
        <v>27</v>
      </c>
      <c r="F5" s="1" t="s">
        <v>28</v>
      </c>
      <c r="H5" s="1"/>
      <c r="J5" s="1"/>
      <c r="K5" s="1"/>
      <c r="L5" s="1"/>
      <c r="M5" s="1"/>
      <c r="N5" s="1"/>
      <c r="R5">
        <v>0</v>
      </c>
      <c r="S5">
        <v>0</v>
      </c>
      <c r="T5">
        <v>1</v>
      </c>
      <c r="U5">
        <v>0</v>
      </c>
    </row>
    <row r="6" spans="2:22" x14ac:dyDescent="0.25">
      <c r="B6" s="1" t="s">
        <v>30</v>
      </c>
      <c r="C6" s="1" t="s">
        <v>35</v>
      </c>
      <c r="D6" s="1" t="s">
        <v>39</v>
      </c>
      <c r="E6" s="1" t="s">
        <v>41</v>
      </c>
      <c r="F6" s="7">
        <v>600</v>
      </c>
      <c r="H6" s="1"/>
      <c r="R6">
        <v>0</v>
      </c>
      <c r="S6">
        <v>0</v>
      </c>
      <c r="T6">
        <v>0</v>
      </c>
      <c r="U6">
        <v>1</v>
      </c>
    </row>
    <row r="7" spans="2:22" x14ac:dyDescent="0.25">
      <c r="B7" s="1" t="s">
        <v>30</v>
      </c>
      <c r="C7" s="1" t="s">
        <v>35</v>
      </c>
      <c r="D7" s="1" t="s">
        <v>39</v>
      </c>
      <c r="E7" s="1" t="s">
        <v>41</v>
      </c>
      <c r="F7" s="7">
        <v>800</v>
      </c>
      <c r="H7" s="1"/>
    </row>
    <row r="8" spans="2:22" x14ac:dyDescent="0.25">
      <c r="B8" s="1" t="s">
        <v>30</v>
      </c>
      <c r="C8" s="1" t="s">
        <v>35</v>
      </c>
      <c r="D8" s="1" t="s">
        <v>40</v>
      </c>
      <c r="E8" s="1" t="s">
        <v>41</v>
      </c>
      <c r="F8" s="7">
        <v>450</v>
      </c>
      <c r="H8" s="1"/>
      <c r="T8" s="23"/>
      <c r="U8" s="23"/>
    </row>
    <row r="9" spans="2:22" x14ac:dyDescent="0.25">
      <c r="B9" s="1" t="s">
        <v>31</v>
      </c>
      <c r="C9" s="1" t="s">
        <v>35</v>
      </c>
      <c r="D9" s="1" t="s">
        <v>39</v>
      </c>
      <c r="E9" s="1" t="s">
        <v>43</v>
      </c>
      <c r="F9" s="7">
        <v>1100</v>
      </c>
      <c r="H9" s="1"/>
    </row>
    <row r="10" spans="2:22" x14ac:dyDescent="0.25">
      <c r="B10" s="1" t="s">
        <v>31</v>
      </c>
      <c r="C10" s="1" t="s">
        <v>37</v>
      </c>
      <c r="D10" s="1" t="s">
        <v>39</v>
      </c>
      <c r="E10" s="1" t="s">
        <v>43</v>
      </c>
      <c r="F10" s="7">
        <v>650</v>
      </c>
      <c r="H10" s="1"/>
    </row>
    <row r="11" spans="2:22" x14ac:dyDescent="0.25">
      <c r="B11" s="1" t="s">
        <v>31</v>
      </c>
      <c r="C11" s="1" t="s">
        <v>37</v>
      </c>
      <c r="D11" s="1" t="s">
        <v>40</v>
      </c>
      <c r="E11" s="1" t="s">
        <v>41</v>
      </c>
      <c r="F11" s="7">
        <v>900</v>
      </c>
      <c r="H11" s="1"/>
    </row>
    <row r="12" spans="2:22" x14ac:dyDescent="0.25">
      <c r="B12" s="1" t="s">
        <v>32</v>
      </c>
      <c r="C12" s="1" t="s">
        <v>35</v>
      </c>
      <c r="D12" s="1" t="s">
        <v>40</v>
      </c>
      <c r="E12" s="1" t="s">
        <v>41</v>
      </c>
      <c r="F12" s="7">
        <v>1200</v>
      </c>
      <c r="H12" s="1"/>
      <c r="T12" s="23"/>
      <c r="U12" s="23"/>
    </row>
    <row r="13" spans="2:22" x14ac:dyDescent="0.25">
      <c r="B13" s="1" t="s">
        <v>30</v>
      </c>
      <c r="C13" s="1" t="s">
        <v>35</v>
      </c>
      <c r="D13" s="1" t="s">
        <v>39</v>
      </c>
      <c r="E13" s="1" t="s">
        <v>42</v>
      </c>
      <c r="F13" s="7">
        <v>700</v>
      </c>
      <c r="H13" s="1"/>
    </row>
    <row r="14" spans="2:22" x14ac:dyDescent="0.25">
      <c r="B14" s="1" t="s">
        <v>31</v>
      </c>
      <c r="C14" s="1" t="s">
        <v>37</v>
      </c>
      <c r="D14" s="1" t="s">
        <v>40</v>
      </c>
      <c r="E14" s="1" t="s">
        <v>43</v>
      </c>
      <c r="F14" s="7">
        <v>400</v>
      </c>
      <c r="H14" s="1"/>
    </row>
    <row r="15" spans="2:22" x14ac:dyDescent="0.25">
      <c r="B15" s="1" t="s">
        <v>33</v>
      </c>
      <c r="C15" s="1" t="s">
        <v>35</v>
      </c>
      <c r="D15" s="1" t="s">
        <v>40</v>
      </c>
      <c r="E15" s="1" t="s">
        <v>41</v>
      </c>
      <c r="F15" s="7">
        <v>500</v>
      </c>
      <c r="H15" s="1"/>
    </row>
    <row r="16" spans="2:22" x14ac:dyDescent="0.25">
      <c r="B16" s="1" t="s">
        <v>34</v>
      </c>
      <c r="C16" s="1" t="s">
        <v>37</v>
      </c>
      <c r="D16" s="1" t="s">
        <v>40</v>
      </c>
      <c r="E16" s="1" t="s">
        <v>42</v>
      </c>
      <c r="F16" s="7">
        <v>200</v>
      </c>
      <c r="H16" s="1"/>
    </row>
    <row r="17" spans="2:6" x14ac:dyDescent="0.25">
      <c r="B17" s="1" t="s">
        <v>32</v>
      </c>
      <c r="C17" s="1" t="s">
        <v>37</v>
      </c>
      <c r="D17" s="1" t="s">
        <v>40</v>
      </c>
      <c r="E17" s="1" t="s">
        <v>42</v>
      </c>
      <c r="F17" s="7">
        <v>300</v>
      </c>
    </row>
  </sheetData>
  <mergeCells count="4">
    <mergeCell ref="O2:P2"/>
    <mergeCell ref="Q2:R2"/>
    <mergeCell ref="S2:U2"/>
    <mergeCell ref="J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Consultar y Resumir VBA</vt:lpstr>
      <vt:lpstr>Desglose de Información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Badillo Salas</dc:creator>
  <cp:lastModifiedBy>Alan Badillo Salas</cp:lastModifiedBy>
  <dcterms:created xsi:type="dcterms:W3CDTF">2026-07-15T23:10:56Z</dcterms:created>
  <dcterms:modified xsi:type="dcterms:W3CDTF">2026-07-16T01:10:50Z</dcterms:modified>
</cp:coreProperties>
</file>