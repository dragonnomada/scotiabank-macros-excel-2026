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C6664F41-253A-4843-9808-1F9CD1CEC673}" xr6:coauthVersionLast="47" xr6:coauthVersionMax="47" xr10:uidLastSave="{00000000-0000-0000-0000-000000000000}"/>
  <bookViews>
    <workbookView xWindow="-105" yWindow="0" windowWidth="29010" windowHeight="15585" firstSheet="1" activeTab="4" xr2:uid="{C19B94C3-EFE6-4C2B-8F75-595086D5A312}"/>
  </bookViews>
  <sheets>
    <sheet name="Ejemplo 1 - Tablero de pagos" sheetId="1" r:id="rId1"/>
    <sheet name="Ubicación de Celdas" sheetId="2" r:id="rId2"/>
    <sheet name="Ejemplo 1" sheetId="3" r:id="rId3"/>
    <sheet name="Fórmulas de Celdas" sheetId="4" r:id="rId4"/>
    <sheet name="Práctica 1 - Desplazar celda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8" i="4" l="1"/>
  <c r="K30" i="4"/>
  <c r="E6" i="4"/>
  <c r="K24" i="2" a="1"/>
  <c r="K24" i="2" s="1"/>
  <c r="N10" i="2"/>
  <c r="K10" i="2"/>
  <c r="H17" i="1"/>
  <c r="G17" i="1"/>
  <c r="E17" i="1"/>
  <c r="H13" i="1"/>
  <c r="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<sst xmlns="http://schemas.openxmlformats.org/spreadsheetml/2006/main" count="162" uniqueCount="120">
  <si>
    <t>Pagos</t>
  </si>
  <si>
    <t>Fecha</t>
  </si>
  <si>
    <t>Monto</t>
  </si>
  <si>
    <t>Año</t>
  </si>
  <si>
    <t>Mes</t>
  </si>
  <si>
    <t>Día</t>
  </si>
  <si>
    <t>Hora</t>
  </si>
  <si>
    <t>Minuto</t>
  </si>
  <si>
    <t>Reporte de Pagos</t>
  </si>
  <si>
    <t>Fecha Inicial</t>
  </si>
  <si>
    <t>Fecha Final</t>
  </si>
  <si>
    <t>Total de pagos</t>
  </si>
  <si>
    <t>Montos</t>
  </si>
  <si>
    <t>Suma</t>
  </si>
  <si>
    <t>Promedio</t>
  </si>
  <si>
    <t>UBICAR CELDAS</t>
  </si>
  <si>
    <t>Dentro de una hoja de cálculo es fundamental acceder a sus celdas y leer y escribir contenido</t>
  </si>
  <si>
    <t>¿Qué podemos acceder de una celda?</t>
  </si>
  <si>
    <t>* El valor o la fórmula</t>
  </si>
  <si>
    <t>=</t>
  </si>
  <si>
    <t>2 + 2</t>
  </si>
  <si>
    <t>FECHA(2026, 7, 1)</t>
  </si>
  <si>
    <t>Fórmula</t>
  </si>
  <si>
    <t>Valor</t>
  </si>
  <si>
    <t>* Propiedades de la celda</t>
  </si>
  <si>
    <t>Row</t>
  </si>
  <si>
    <t>Column</t>
  </si>
  <si>
    <t>ColumnWidth</t>
  </si>
  <si>
    <t>…</t>
  </si>
  <si>
    <t>* Métodos / Acciones de la celda</t>
  </si>
  <si>
    <t>Select</t>
  </si>
  <si>
    <t>Copy</t>
  </si>
  <si>
    <t>Cut</t>
  </si>
  <si>
    <t>Paste</t>
  </si>
  <si>
    <t>CopyPicture</t>
  </si>
  <si>
    <t>Dirección de una celda</t>
  </si>
  <si>
    <t>Física</t>
  </si>
  <si>
    <t>R1C1</t>
  </si>
  <si>
    <t>K19</t>
  </si>
  <si>
    <t>K20</t>
  </si>
  <si>
    <t>L19</t>
  </si>
  <si>
    <t>L20</t>
  </si>
  <si>
    <t>H12:H15</t>
  </si>
  <si>
    <t>SUMA(R[-5]C[-4]:R[-1]C[-4])</t>
  </si>
  <si>
    <t>SUMA(R[-5]C[-2]:R[-1]C[-2])</t>
  </si>
  <si>
    <t>VBA</t>
  </si>
  <si>
    <t>Ejemplo 1</t>
  </si>
  <si>
    <t>Construir una fórmula desde VBA</t>
  </si>
  <si>
    <t>1. La hoja de trabajo nombrada en una variable</t>
  </si>
  <si>
    <t>Dim</t>
  </si>
  <si>
    <t>ws</t>
  </si>
  <si>
    <t>As</t>
  </si>
  <si>
    <t>Worksheet</t>
  </si>
  <si>
    <t>Set</t>
  </si>
  <si>
    <t>ThisWorkbook.Worksheets("Ejemplo 1")</t>
  </si>
  <si>
    <t>2. La celda de trabajo nombrada en una variable</t>
  </si>
  <si>
    <t>celdaSalidaSuma</t>
  </si>
  <si>
    <t>Range</t>
  </si>
  <si>
    <t>ws.Range("F21")</t>
  </si>
  <si>
    <t>Hola mundo</t>
  </si>
  <si>
    <t>Fórmulas de Celdas</t>
  </si>
  <si>
    <t>Las celdas continen valores calculados a partir fórmulas o datos directos</t>
  </si>
  <si>
    <t>C6 - contiene datos directos</t>
  </si>
  <si>
    <t>E6 - contiene una fórmula</t>
  </si>
  <si>
    <t>El celda.Value equivale a celda.Formula</t>
  </si>
  <si>
    <t>celda.Value - contiene el valor inferido / calculado</t>
  </si>
  <si>
    <t>celda.Formula - contiene la fórmula que origina el valor</t>
  </si>
  <si>
    <t>celda.Value</t>
  </si>
  <si>
    <t>celda.Formula</t>
  </si>
  <si>
    <t>Tipos de fórmulas</t>
  </si>
  <si>
    <t>.Formula</t>
  </si>
  <si>
    <t>La fórmula nativa o compatible en inglés</t>
  </si>
  <si>
    <t>.Formula2</t>
  </si>
  <si>
    <t>La fórmula moderna / plugins en inglés</t>
  </si>
  <si>
    <t>.Formula2Local</t>
  </si>
  <si>
    <t>La fórmula moderna en Español / Regionalizada</t>
  </si>
  <si>
    <t>.Formula2R1C1</t>
  </si>
  <si>
    <t>SUM(</t>
  </si>
  <si>
    <t>Tradicional</t>
  </si>
  <si>
    <t>SUM(E27:E30)</t>
  </si>
  <si>
    <t>...Partiendo de G31</t>
  </si>
  <si>
    <t>REFERENCIA</t>
  </si>
  <si>
    <t>R[-4]C[-2]</t>
  </si>
  <si>
    <t>:</t>
  </si>
  <si>
    <t>R[-1]C[-2]</t>
  </si>
  <si>
    <t>)</t>
  </si>
  <si>
    <t>.Formula2R1C1Local</t>
  </si>
  <si>
    <t>La fórmula sin direcciones físicas y con direcciones relativas (R[dx]C[dy]) en Español / Regionalizada</t>
  </si>
  <si>
    <t>La fórmula sin direcciones físicas y con direcciones relativas (R[dx]C[dy]) en inglés</t>
  </si>
  <si>
    <t>R1C1 - K30</t>
  </si>
  <si>
    <t>Tradicional - K28</t>
  </si>
  <si>
    <t>* Calcular la suma de E27 a E30</t>
  </si>
  <si>
    <t>Desplazar a la última Celda</t>
  </si>
  <si>
    <t>Cuando estamos posicionados en una Celda, generalmenta la principal o el inicio de una tabla o columna, será fundamental poder ubicar hacia abajo, hacia arriba, hacia la derecha o hacia la izquierda donde está la última celda con datos válidos.
Dentro de Excel, podemos usar las teclas CTRL+ARRIBA, CTRL+ABAJO, CTRL+IZQUIERDA o CTRL+DERECHA para lograrlo, este mismo concepto se aplica en VBA utilizando los comandos de desplazamiento xlUp, xlDown, xlToLeft y xlToRight</t>
  </si>
  <si>
    <t>Nombre</t>
  </si>
  <si>
    <t>Edad</t>
  </si>
  <si>
    <t>Salario</t>
  </si>
  <si>
    <t>Ada</t>
  </si>
  <si>
    <t>Beni</t>
  </si>
  <si>
    <t>Caren</t>
  </si>
  <si>
    <t>Dany</t>
  </si>
  <si>
    <t>Eddy</t>
  </si>
  <si>
    <t>Reporte de Empleados</t>
  </si>
  <si>
    <t>Total</t>
  </si>
  <si>
    <t>Edades</t>
  </si>
  <si>
    <t>Mínima</t>
  </si>
  <si>
    <t>Máxima</t>
  </si>
  <si>
    <t>Salarios</t>
  </si>
  <si>
    <t>Mínimo</t>
  </si>
  <si>
    <t>Máximo</t>
  </si>
  <si>
    <t>celdaD13</t>
  </si>
  <si>
    <t>ws.Range("D13")</t>
  </si>
  <si>
    <t>celdaFinal</t>
  </si>
  <si>
    <t>celdaD13.End(xlDown)</t>
  </si>
  <si>
    <t>celdaI18</t>
  </si>
  <si>
    <t>ws.Range("I18")</t>
  </si>
  <si>
    <t>celdaI18.Formula2Local</t>
  </si>
  <si>
    <t>"=SUMA(" &amp; celdaD13.Address &amp; ":" &amp; celdaFinal.Address &amp; ")"</t>
  </si>
  <si>
    <t>PRÁCTICA 1</t>
  </si>
  <si>
    <t>alan@belatrix.com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</si>
</sst>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_-[$$-80A]* #,##0.00_-;\-[$$-80A]* #,##0.00_-;_-[$$-80A]* &quot;-&quot;??_-;_-@_-"/>
    <numFmt numFmtId="166" formatCode="_-[$$-2C0A]\ * #,##0.00_-;\-[$$-2C0A]\ * #,##0.00_-;_-[$$-2C0A]\ * &quot;-&quot;??_-;_-@_-"/>
    <numFmt numFmtId="169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7"/>
      <name val="Aptos Narrow"/>
      <family val="2"/>
      <scheme val="minor"/>
    </font>
    <font>
      <sz val="11"/>
      <color rgb="FF7030A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1" fillId="5" borderId="3" applyNumberFormat="0" applyFont="0" applyAlignment="0" applyProtection="0"/>
    <xf numFmtId="0" fontId="14" fillId="0" borderId="0" applyNumberFormat="0" applyFill="0" applyBorder="0" applyAlignment="0" applyProtection="0"/>
  </cellStyleXfs>
  <cellXfs count="69">
    <xf numFmtId="0" fontId="0" fillId="0" borderId="0" xfId="0"/>
    <xf numFmtId="165" fontId="0" fillId="0" borderId="0" xfId="0" applyNumberFormat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0" xfId="0" applyAlignment="1">
      <alignment horizontal="center"/>
    </xf>
    <xf numFmtId="0" fontId="8" fillId="6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66" fontId="0" fillId="8" borderId="4" xfId="0" applyNumberForma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22" fontId="0" fillId="0" borderId="5" xfId="0" applyNumberFormat="1" applyBorder="1"/>
    <xf numFmtId="22" fontId="0" fillId="0" borderId="6" xfId="0" applyNumberFormat="1" applyBorder="1"/>
    <xf numFmtId="22" fontId="0" fillId="0" borderId="7" xfId="0" applyNumberFormat="1" applyBorder="1"/>
    <xf numFmtId="14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6" fillId="10" borderId="0" xfId="0" applyFont="1" applyFill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5" borderId="3" xfId="5" applyFont="1" applyAlignment="1">
      <alignment horizontal="center"/>
    </xf>
    <xf numFmtId="0" fontId="0" fillId="7" borderId="0" xfId="0" applyFill="1"/>
    <xf numFmtId="0" fontId="0" fillId="11" borderId="0" xfId="0" applyFill="1"/>
    <xf numFmtId="0" fontId="0" fillId="12" borderId="0" xfId="0" applyFill="1"/>
    <xf numFmtId="0" fontId="4" fillId="3" borderId="0" xfId="3" applyAlignment="1">
      <alignment horizontal="center"/>
    </xf>
    <xf numFmtId="0" fontId="0" fillId="5" borderId="3" xfId="5" applyFont="1"/>
    <xf numFmtId="0" fontId="7" fillId="0" borderId="0" xfId="0" applyFont="1"/>
    <xf numFmtId="0" fontId="3" fillId="2" borderId="0" xfId="2"/>
    <xf numFmtId="0" fontId="5" fillId="4" borderId="2" xfId="4"/>
    <xf numFmtId="0" fontId="9" fillId="0" borderId="0" xfId="0" applyFont="1"/>
    <xf numFmtId="169" fontId="9" fillId="0" borderId="0" xfId="0" applyNumberFormat="1" applyFont="1" applyAlignment="1">
      <alignment horizontal="center"/>
    </xf>
    <xf numFmtId="0" fontId="0" fillId="5" borderId="10" xfId="5" applyFont="1" applyBorder="1" applyAlignment="1">
      <alignment horizontal="center"/>
    </xf>
    <xf numFmtId="0" fontId="0" fillId="5" borderId="11" xfId="5" applyFont="1" applyBorder="1" applyAlignment="1">
      <alignment horizontal="center"/>
    </xf>
    <xf numFmtId="0" fontId="0" fillId="5" borderId="12" xfId="5" applyFont="1" applyBorder="1" applyAlignment="1">
      <alignment horizontal="center"/>
    </xf>
    <xf numFmtId="0" fontId="2" fillId="0" borderId="1" xfId="1" applyAlignment="1">
      <alignment horizontal="center"/>
    </xf>
    <xf numFmtId="0" fontId="5" fillId="4" borderId="13" xfId="4" applyBorder="1" applyAlignment="1">
      <alignment horizontal="center"/>
    </xf>
    <xf numFmtId="0" fontId="5" fillId="4" borderId="14" xfId="4" applyBorder="1" applyAlignment="1">
      <alignment horizontal="center"/>
    </xf>
    <xf numFmtId="0" fontId="5" fillId="4" borderId="15" xfId="4" applyBorder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13" borderId="0" xfId="0" applyFill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14" borderId="0" xfId="0" applyFill="1"/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vertical="center" wrapText="1"/>
    </xf>
    <xf numFmtId="0" fontId="5" fillId="4" borderId="2" xfId="4" applyAlignment="1">
      <alignment horizontal="left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13" borderId="4" xfId="0" applyFill="1" applyBorder="1"/>
    <xf numFmtId="0" fontId="0" fillId="13" borderId="4" xfId="0" applyFill="1" applyBorder="1" applyAlignment="1">
      <alignment vertical="center" wrapText="1"/>
    </xf>
    <xf numFmtId="0" fontId="0" fillId="0" borderId="0" xfId="0" applyAlignment="1">
      <alignment horizontal="left"/>
    </xf>
    <xf numFmtId="0" fontId="3" fillId="2" borderId="0" xfId="2" applyAlignment="1">
      <alignment horizontal="center"/>
    </xf>
    <xf numFmtId="0" fontId="14" fillId="0" borderId="0" xfId="6"/>
  </cellXfs>
  <cellStyles count="7">
    <cellStyle name="Bueno" xfId="2" builtinId="26"/>
    <cellStyle name="Cálculo" xfId="4" builtinId="22"/>
    <cellStyle name="Hipervínculo" xfId="6" builtinId="8"/>
    <cellStyle name="Neutral" xfId="3" builtinId="28"/>
    <cellStyle name="Normal" xfId="0" builtinId="0"/>
    <cellStyle name="Notas" xfId="5" builtinId="10"/>
    <cellStyle name="Título 2" xfId="1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743879</xdr:colOff>
          <xdr:row>8</xdr:row>
          <xdr:rowOff>464</xdr:rowOff>
        </xdr:from>
        <xdr:to>
          <xdr:col>10</xdr:col>
          <xdr:colOff>0</xdr:colOff>
          <xdr:row>9</xdr:row>
          <xdr:rowOff>27878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 Pago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9293</xdr:colOff>
          <xdr:row>18</xdr:row>
          <xdr:rowOff>19050</xdr:rowOff>
        </xdr:from>
        <xdr:to>
          <xdr:col>7</xdr:col>
          <xdr:colOff>733425</xdr:colOff>
          <xdr:row>19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Reporte de Pagos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370974</xdr:colOff>
          <xdr:row>18</xdr:row>
          <xdr:rowOff>142875</xdr:rowOff>
        </xdr:from>
        <xdr:to>
          <xdr:col>10</xdr:col>
          <xdr:colOff>9525</xdr:colOff>
          <xdr:row>19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reporte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alan@belatrix.com" TargetMode="Externa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79613-2364-4CDB-A620-8A8FA5CCA228}">
  <sheetPr codeName="Hoja1"/>
  <dimension ref="B4:J19"/>
  <sheetViews>
    <sheetView topLeftCell="A4" zoomScale="205" zoomScaleNormal="205" workbookViewId="0">
      <selection activeCell="J17" sqref="J17"/>
    </sheetView>
  </sheetViews>
  <sheetFormatPr baseColWidth="10" defaultRowHeight="15" x14ac:dyDescent="0.25"/>
  <cols>
    <col min="2" max="2" width="15.140625" customWidth="1"/>
    <col min="3" max="3" width="11.42578125" style="1"/>
    <col min="5" max="5" width="16.140625" customWidth="1"/>
  </cols>
  <sheetData>
    <row r="4" spans="2:10" x14ac:dyDescent="0.25">
      <c r="C4"/>
    </row>
    <row r="5" spans="2:10" x14ac:dyDescent="0.25">
      <c r="B5" s="11" t="s">
        <v>0</v>
      </c>
    </row>
    <row r="6" spans="2:10" x14ac:dyDescent="0.25">
      <c r="B6" s="5" t="s">
        <v>1</v>
      </c>
      <c r="C6" s="5" t="s">
        <v>2</v>
      </c>
      <c r="F6" s="7" t="s">
        <v>3</v>
      </c>
      <c r="G6" s="7" t="s">
        <v>4</v>
      </c>
      <c r="H6" s="7" t="s">
        <v>5</v>
      </c>
      <c r="I6" s="7" t="s">
        <v>6</v>
      </c>
      <c r="J6" s="7" t="s">
        <v>7</v>
      </c>
    </row>
    <row r="7" spans="2:10" x14ac:dyDescent="0.25">
      <c r="B7" s="14">
        <v>46213.637499999997</v>
      </c>
      <c r="C7" s="2">
        <v>678</v>
      </c>
      <c r="E7" s="5" t="s">
        <v>1</v>
      </c>
      <c r="F7" s="9">
        <v>2026</v>
      </c>
      <c r="G7" s="9">
        <v>7</v>
      </c>
      <c r="H7" s="9">
        <v>10</v>
      </c>
      <c r="I7" s="9">
        <v>15</v>
      </c>
      <c r="J7" s="9">
        <v>18</v>
      </c>
    </row>
    <row r="8" spans="2:10" x14ac:dyDescent="0.25">
      <c r="B8" s="15">
        <v>46212.6875</v>
      </c>
      <c r="C8" s="3">
        <v>589</v>
      </c>
    </row>
    <row r="9" spans="2:10" x14ac:dyDescent="0.25">
      <c r="B9" s="15">
        <v>46212.600694444445</v>
      </c>
      <c r="C9" s="3">
        <v>234</v>
      </c>
      <c r="E9" s="5" t="s">
        <v>2</v>
      </c>
      <c r="F9" s="10">
        <v>678</v>
      </c>
    </row>
    <row r="10" spans="2:10" x14ac:dyDescent="0.25">
      <c r="B10" s="15">
        <v>46210.607638888891</v>
      </c>
      <c r="C10" s="3">
        <v>789</v>
      </c>
    </row>
    <row r="11" spans="2:10" x14ac:dyDescent="0.25">
      <c r="B11" s="15">
        <v>46210.705555555556</v>
      </c>
      <c r="C11" s="3">
        <v>255</v>
      </c>
    </row>
    <row r="12" spans="2:10" x14ac:dyDescent="0.25">
      <c r="B12" s="15">
        <v>46211.559027777781</v>
      </c>
      <c r="C12" s="3">
        <v>456</v>
      </c>
      <c r="G12" s="19" t="s">
        <v>9</v>
      </c>
      <c r="H12" s="19" t="s">
        <v>10</v>
      </c>
    </row>
    <row r="13" spans="2:10" x14ac:dyDescent="0.25">
      <c r="B13" s="15">
        <v>46212.412499999999</v>
      </c>
      <c r="C13" s="3">
        <v>657</v>
      </c>
      <c r="E13" s="23" t="s">
        <v>8</v>
      </c>
      <c r="G13" s="17">
        <f>MIN(B7:B18)</f>
        <v>46210.607638888891</v>
      </c>
      <c r="H13" s="17">
        <f>MAX(B7:B18)</f>
        <v>46216.679861111108</v>
      </c>
    </row>
    <row r="14" spans="2:10" x14ac:dyDescent="0.25">
      <c r="B14" s="15">
        <v>46213.265972222223</v>
      </c>
      <c r="C14" s="3">
        <v>858</v>
      </c>
    </row>
    <row r="15" spans="2:10" x14ac:dyDescent="0.25">
      <c r="B15" s="15">
        <v>46214.119444444441</v>
      </c>
      <c r="C15" s="3">
        <v>1059</v>
      </c>
      <c r="G15" s="20" t="s">
        <v>12</v>
      </c>
      <c r="H15" s="21"/>
    </row>
    <row r="16" spans="2:10" x14ac:dyDescent="0.25">
      <c r="B16" s="15">
        <v>46214.972916666666</v>
      </c>
      <c r="C16" s="3">
        <v>1260</v>
      </c>
      <c r="E16" s="19" t="s">
        <v>11</v>
      </c>
      <c r="G16" s="22" t="s">
        <v>13</v>
      </c>
      <c r="H16" s="22" t="s">
        <v>14</v>
      </c>
    </row>
    <row r="17" spans="2:8" x14ac:dyDescent="0.25">
      <c r="B17" s="15">
        <v>46215.826388888891</v>
      </c>
      <c r="C17" s="3">
        <v>1461</v>
      </c>
      <c r="E17" s="24">
        <f>COUNT(C7:C18)</f>
        <v>12</v>
      </c>
      <c r="G17" s="18">
        <f>SUM(C7:C18)</f>
        <v>9958</v>
      </c>
      <c r="H17" s="18">
        <f>AVERAGE(C7:C18)</f>
        <v>829.83333333333337</v>
      </c>
    </row>
    <row r="18" spans="2:8" x14ac:dyDescent="0.25">
      <c r="B18" s="16">
        <v>46216.679861111108</v>
      </c>
      <c r="C18" s="4">
        <v>1662</v>
      </c>
    </row>
    <row r="19" spans="2:8" x14ac:dyDescent="0.25">
      <c r="C19"/>
    </row>
  </sheetData>
  <mergeCells count="1">
    <mergeCell ref="G15:H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gistrarPago">
                <anchor moveWithCells="1" sizeWithCells="1">
                  <from>
                    <xdr:col>7</xdr:col>
                    <xdr:colOff>742950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rReporte">
                <anchor moveWithCells="1" sizeWithCells="1">
                  <from>
                    <xdr:col>4</xdr:col>
                    <xdr:colOff>9525</xdr:colOff>
                    <xdr:row>18</xdr:row>
                    <xdr:rowOff>19050</xdr:rowOff>
                  </from>
                  <to>
                    <xdr:col>7</xdr:col>
                    <xdr:colOff>733425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075BA-CB11-4790-AB25-4DEFF936FEEA}">
  <sheetPr codeName="Hoja2"/>
  <dimension ref="B3:R27"/>
  <sheetViews>
    <sheetView zoomScale="130" zoomScaleNormal="130" workbookViewId="0">
      <selection activeCell="G21" sqref="G21"/>
    </sheetView>
  </sheetViews>
  <sheetFormatPr baseColWidth="10" defaultRowHeight="15" x14ac:dyDescent="0.25"/>
  <cols>
    <col min="8" max="8" width="13.140625" customWidth="1"/>
    <col min="10" max="10" width="6.140625" customWidth="1"/>
    <col min="11" max="11" width="14.7109375" customWidth="1"/>
    <col min="13" max="13" width="7.140625" customWidth="1"/>
  </cols>
  <sheetData>
    <row r="3" spans="2:16" x14ac:dyDescent="0.25">
      <c r="B3" s="32" t="s">
        <v>15</v>
      </c>
      <c r="C3" s="32"/>
      <c r="E3" s="33" t="s">
        <v>16</v>
      </c>
      <c r="F3" s="33"/>
      <c r="G3" s="33"/>
      <c r="H3" s="33"/>
      <c r="I3" s="33"/>
      <c r="J3" s="33"/>
      <c r="K3" s="33"/>
    </row>
    <row r="6" spans="2:16" x14ac:dyDescent="0.25">
      <c r="E6" s="36" t="s">
        <v>17</v>
      </c>
      <c r="F6" s="37"/>
      <c r="G6" s="37"/>
      <c r="H6" s="37"/>
      <c r="I6" s="37"/>
      <c r="J6" s="37"/>
      <c r="K6" s="38"/>
    </row>
    <row r="8" spans="2:16" x14ac:dyDescent="0.25">
      <c r="E8" t="s">
        <v>18</v>
      </c>
      <c r="H8" t="s">
        <v>22</v>
      </c>
      <c r="J8" s="31" t="s">
        <v>19</v>
      </c>
      <c r="K8" s="31" t="s">
        <v>20</v>
      </c>
      <c r="M8" s="31" t="s">
        <v>19</v>
      </c>
      <c r="N8" s="31" t="s">
        <v>21</v>
      </c>
      <c r="O8" s="31"/>
    </row>
    <row r="10" spans="2:16" x14ac:dyDescent="0.25">
      <c r="H10" t="s">
        <v>23</v>
      </c>
      <c r="K10" s="34">
        <f>2 + 2</f>
        <v>4</v>
      </c>
      <c r="N10" s="35">
        <f>DATE(2026,7,1)</f>
        <v>46204</v>
      </c>
      <c r="O10" s="35"/>
      <c r="P10" s="35"/>
    </row>
    <row r="12" spans="2:16" x14ac:dyDescent="0.25">
      <c r="E12" t="s">
        <v>24</v>
      </c>
      <c r="H12" t="s">
        <v>25</v>
      </c>
    </row>
    <row r="13" spans="2:16" x14ac:dyDescent="0.25">
      <c r="H13" t="s">
        <v>26</v>
      </c>
    </row>
    <row r="14" spans="2:16" x14ac:dyDescent="0.25">
      <c r="H14" t="s">
        <v>27</v>
      </c>
      <c r="K14" s="25" t="s">
        <v>35</v>
      </c>
      <c r="L14" s="25"/>
      <c r="M14" s="25"/>
      <c r="N14" s="25"/>
      <c r="O14" s="25"/>
    </row>
    <row r="15" spans="2:16" x14ac:dyDescent="0.25">
      <c r="H15" t="s">
        <v>28</v>
      </c>
    </row>
    <row r="17" spans="5:18" ht="18" thickBot="1" x14ac:dyDescent="0.35">
      <c r="E17" t="s">
        <v>29</v>
      </c>
      <c r="H17" t="s">
        <v>30</v>
      </c>
      <c r="K17" s="29" t="s">
        <v>36</v>
      </c>
      <c r="N17" s="29" t="s">
        <v>37</v>
      </c>
      <c r="O17" s="39" t="s">
        <v>45</v>
      </c>
    </row>
    <row r="18" spans="5:18" ht="15.75" thickTop="1" x14ac:dyDescent="0.25">
      <c r="H18" t="s">
        <v>31</v>
      </c>
    </row>
    <row r="19" spans="5:18" x14ac:dyDescent="0.25">
      <c r="H19" t="s">
        <v>32</v>
      </c>
      <c r="K19" t="s">
        <v>38</v>
      </c>
      <c r="L19" t="s">
        <v>40</v>
      </c>
      <c r="N19" s="31" t="s">
        <v>19</v>
      </c>
      <c r="O19" s="31" t="s">
        <v>43</v>
      </c>
    </row>
    <row r="20" spans="5:18" x14ac:dyDescent="0.25">
      <c r="H20" t="s">
        <v>33</v>
      </c>
      <c r="K20" t="s">
        <v>39</v>
      </c>
      <c r="L20" t="s">
        <v>41</v>
      </c>
    </row>
    <row r="21" spans="5:18" x14ac:dyDescent="0.25">
      <c r="H21" t="s">
        <v>34</v>
      </c>
    </row>
    <row r="22" spans="5:18" x14ac:dyDescent="0.25">
      <c r="H22" t="s">
        <v>28</v>
      </c>
      <c r="K22" s="26" t="s">
        <v>19</v>
      </c>
      <c r="L22" s="26" t="s">
        <v>42</v>
      </c>
      <c r="N22" s="27">
        <v>10</v>
      </c>
    </row>
    <row r="23" spans="5:18" x14ac:dyDescent="0.25">
      <c r="N23">
        <v>20</v>
      </c>
    </row>
    <row r="24" spans="5:18" x14ac:dyDescent="0.25">
      <c r="K24" s="26" t="str" cm="1">
        <f t="array" ref="K24:K27">H12:H15</f>
        <v>Row</v>
      </c>
      <c r="N24">
        <v>30</v>
      </c>
    </row>
    <row r="25" spans="5:18" x14ac:dyDescent="0.25">
      <c r="K25" s="26" t="str">
        <v>Column</v>
      </c>
      <c r="N25">
        <v>40</v>
      </c>
    </row>
    <row r="26" spans="5:18" x14ac:dyDescent="0.25">
      <c r="K26" s="26" t="str">
        <v>ColumnWidth</v>
      </c>
      <c r="N26" s="28">
        <v>50</v>
      </c>
    </row>
    <row r="27" spans="5:18" x14ac:dyDescent="0.25">
      <c r="K27" s="26" t="str">
        <v>…</v>
      </c>
      <c r="P27" s="30" t="s">
        <v>19</v>
      </c>
      <c r="Q27" s="30" t="s">
        <v>44</v>
      </c>
      <c r="R27" s="30"/>
    </row>
  </sheetData>
  <mergeCells count="3">
    <mergeCell ref="N10:P10"/>
    <mergeCell ref="K14:O14"/>
    <mergeCell ref="E6:K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C155-A9E7-4BFA-8DC7-616A2B8CAFB7}">
  <sheetPr codeName="Hoja3"/>
  <dimension ref="B3:H21"/>
  <sheetViews>
    <sheetView topLeftCell="A2" zoomScale="175" zoomScaleNormal="175" workbookViewId="0">
      <selection activeCell="H6" sqref="H6"/>
    </sheetView>
  </sheetViews>
  <sheetFormatPr baseColWidth="10" defaultRowHeight="15" x14ac:dyDescent="0.25"/>
  <sheetData>
    <row r="3" spans="2:8" x14ac:dyDescent="0.25">
      <c r="B3" s="32" t="s">
        <v>46</v>
      </c>
      <c r="D3" s="40" t="s">
        <v>47</v>
      </c>
      <c r="E3" s="41"/>
      <c r="F3" s="41"/>
      <c r="G3" s="41"/>
      <c r="H3" s="42"/>
    </row>
    <row r="7" spans="2:8" x14ac:dyDescent="0.25">
      <c r="B7" t="s">
        <v>48</v>
      </c>
    </row>
    <row r="9" spans="2:8" x14ac:dyDescent="0.25">
      <c r="B9" s="44" t="s">
        <v>49</v>
      </c>
      <c r="C9" s="43" t="s">
        <v>50</v>
      </c>
      <c r="D9" t="s">
        <v>51</v>
      </c>
      <c r="E9" s="34" t="s">
        <v>52</v>
      </c>
    </row>
    <row r="11" spans="2:8" x14ac:dyDescent="0.25">
      <c r="B11" s="45" t="s">
        <v>53</v>
      </c>
      <c r="C11" s="43" t="s">
        <v>50</v>
      </c>
      <c r="D11" s="45" t="s">
        <v>19</v>
      </c>
      <c r="E11" s="45" t="s">
        <v>54</v>
      </c>
    </row>
    <row r="14" spans="2:8" x14ac:dyDescent="0.25">
      <c r="B14" t="s">
        <v>55</v>
      </c>
    </row>
    <row r="16" spans="2:8" x14ac:dyDescent="0.25">
      <c r="B16" t="s">
        <v>49</v>
      </c>
      <c r="C16" s="31" t="s">
        <v>56</v>
      </c>
      <c r="E16" t="s">
        <v>51</v>
      </c>
      <c r="F16" s="34" t="s">
        <v>57</v>
      </c>
    </row>
    <row r="18" spans="2:6" x14ac:dyDescent="0.25">
      <c r="B18" t="s">
        <v>53</v>
      </c>
      <c r="C18" s="31" t="s">
        <v>56</v>
      </c>
      <c r="E18" t="s">
        <v>19</v>
      </c>
      <c r="F18" t="s">
        <v>58</v>
      </c>
    </row>
    <row r="21" spans="2:6" x14ac:dyDescent="0.25">
      <c r="F21" s="46" t="s">
        <v>59</v>
      </c>
    </row>
  </sheetData>
  <mergeCells count="1">
    <mergeCell ref="D3:H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34F4-99D6-4F98-BC92-69A1CE2ABE1B}">
  <sheetPr codeName="Hoja4"/>
  <dimension ref="B3:M35"/>
  <sheetViews>
    <sheetView topLeftCell="E17" zoomScale="145" zoomScaleNormal="145" workbookViewId="0">
      <selection activeCell="K30" sqref="K30"/>
    </sheetView>
  </sheetViews>
  <sheetFormatPr baseColWidth="10" defaultRowHeight="15" x14ac:dyDescent="0.25"/>
  <cols>
    <col min="4" max="4" width="15" customWidth="1"/>
  </cols>
  <sheetData>
    <row r="3" spans="2:10" x14ac:dyDescent="0.25">
      <c r="B3" t="s">
        <v>60</v>
      </c>
      <c r="E3" t="s">
        <v>61</v>
      </c>
    </row>
    <row r="6" spans="2:10" x14ac:dyDescent="0.25">
      <c r="C6" t="s">
        <v>59</v>
      </c>
      <c r="E6">
        <f>2+2</f>
        <v>4</v>
      </c>
      <c r="G6" t="s">
        <v>63</v>
      </c>
    </row>
    <row r="8" spans="2:10" x14ac:dyDescent="0.25">
      <c r="C8" t="s">
        <v>62</v>
      </c>
      <c r="G8" t="s">
        <v>65</v>
      </c>
    </row>
    <row r="9" spans="2:10" x14ac:dyDescent="0.25">
      <c r="G9" t="s">
        <v>66</v>
      </c>
    </row>
    <row r="10" spans="2:10" x14ac:dyDescent="0.25">
      <c r="C10" t="s">
        <v>64</v>
      </c>
    </row>
    <row r="11" spans="2:10" x14ac:dyDescent="0.25">
      <c r="G11" t="s">
        <v>67</v>
      </c>
      <c r="I11" s="47">
        <v>4</v>
      </c>
    </row>
    <row r="12" spans="2:10" x14ac:dyDescent="0.25">
      <c r="G12" t="s">
        <v>68</v>
      </c>
      <c r="I12" s="48" t="s">
        <v>19</v>
      </c>
      <c r="J12" s="31" t="s">
        <v>20</v>
      </c>
    </row>
    <row r="14" spans="2:10" x14ac:dyDescent="0.25">
      <c r="C14" t="s">
        <v>69</v>
      </c>
    </row>
    <row r="16" spans="2:10" x14ac:dyDescent="0.25">
      <c r="C16" t="s">
        <v>70</v>
      </c>
      <c r="E16" t="s">
        <v>71</v>
      </c>
    </row>
    <row r="18" spans="3:13" x14ac:dyDescent="0.25">
      <c r="C18" t="s">
        <v>72</v>
      </c>
      <c r="E18" t="s">
        <v>73</v>
      </c>
    </row>
    <row r="20" spans="3:13" x14ac:dyDescent="0.25">
      <c r="C20" t="s">
        <v>74</v>
      </c>
      <c r="E20" t="s">
        <v>75</v>
      </c>
    </row>
    <row r="22" spans="3:13" x14ac:dyDescent="0.25">
      <c r="C22" t="s">
        <v>76</v>
      </c>
      <c r="E22" t="s">
        <v>88</v>
      </c>
    </row>
    <row r="24" spans="3:13" x14ac:dyDescent="0.25">
      <c r="E24" s="53" t="s">
        <v>78</v>
      </c>
      <c r="H24" s="52" t="s">
        <v>37</v>
      </c>
      <c r="I24" t="s">
        <v>80</v>
      </c>
    </row>
    <row r="25" spans="3:13" x14ac:dyDescent="0.25">
      <c r="E25" t="s">
        <v>19</v>
      </c>
      <c r="F25" t="s">
        <v>79</v>
      </c>
      <c r="H25" t="s">
        <v>19</v>
      </c>
      <c r="I25" t="s">
        <v>77</v>
      </c>
      <c r="J25" s="50" t="s">
        <v>82</v>
      </c>
      <c r="K25" s="6" t="s">
        <v>83</v>
      </c>
      <c r="L25" s="51" t="s">
        <v>84</v>
      </c>
      <c r="M25" t="s">
        <v>85</v>
      </c>
    </row>
    <row r="27" spans="3:13" x14ac:dyDescent="0.25">
      <c r="E27" s="27">
        <v>100</v>
      </c>
    </row>
    <row r="28" spans="3:13" x14ac:dyDescent="0.25">
      <c r="E28">
        <v>200</v>
      </c>
      <c r="I28" t="s">
        <v>90</v>
      </c>
      <c r="K28" s="46">
        <f>SUM(E27:E30)</f>
        <v>1000</v>
      </c>
    </row>
    <row r="29" spans="3:13" x14ac:dyDescent="0.25">
      <c r="E29">
        <v>300</v>
      </c>
    </row>
    <row r="30" spans="3:13" x14ac:dyDescent="0.25">
      <c r="E30" s="28">
        <v>400</v>
      </c>
      <c r="I30" t="s">
        <v>89</v>
      </c>
      <c r="K30" s="46">
        <f>SUM(E27:E30)</f>
        <v>1000</v>
      </c>
    </row>
    <row r="31" spans="3:13" x14ac:dyDescent="0.25">
      <c r="G31" s="49" t="s">
        <v>81</v>
      </c>
    </row>
    <row r="32" spans="3:13" x14ac:dyDescent="0.25">
      <c r="I32" t="s">
        <v>91</v>
      </c>
    </row>
    <row r="35" spans="3:5" x14ac:dyDescent="0.25">
      <c r="C35" t="s">
        <v>86</v>
      </c>
      <c r="E35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07873-8AB7-4AC6-A8AE-B304AF673DED}">
  <sheetPr codeName="Hoja5"/>
  <dimension ref="B3:L31"/>
  <sheetViews>
    <sheetView tabSelected="1" topLeftCell="A10" zoomScale="145" zoomScaleNormal="145" workbookViewId="0">
      <selection activeCell="J22" sqref="J22"/>
    </sheetView>
  </sheetViews>
  <sheetFormatPr baseColWidth="10" defaultRowHeight="15" x14ac:dyDescent="0.25"/>
  <cols>
    <col min="3" max="3" width="13.85546875" customWidth="1"/>
    <col min="4" max="4" width="14.140625" customWidth="1"/>
    <col min="5" max="5" width="26.140625" customWidth="1"/>
    <col min="6" max="6" width="20.85546875" customWidth="1"/>
  </cols>
  <sheetData>
    <row r="3" spans="2:12" ht="13.5" customHeight="1" x14ac:dyDescent="0.25">
      <c r="B3" s="67" t="s">
        <v>118</v>
      </c>
      <c r="C3" s="67"/>
      <c r="E3" s="55" t="s">
        <v>93</v>
      </c>
      <c r="F3" s="55"/>
      <c r="G3" s="55"/>
      <c r="H3" s="55"/>
      <c r="I3" s="55"/>
      <c r="J3" s="55"/>
      <c r="K3" s="55"/>
      <c r="L3" s="55"/>
    </row>
    <row r="4" spans="2:12" x14ac:dyDescent="0.25">
      <c r="B4" s="30" t="s">
        <v>92</v>
      </c>
      <c r="C4" s="30"/>
      <c r="E4" s="55"/>
      <c r="F4" s="55"/>
      <c r="G4" s="55"/>
      <c r="H4" s="55"/>
      <c r="I4" s="55"/>
      <c r="J4" s="55"/>
      <c r="K4" s="55"/>
      <c r="L4" s="55"/>
    </row>
    <row r="5" spans="2:12" x14ac:dyDescent="0.25">
      <c r="E5" s="55"/>
      <c r="F5" s="55"/>
      <c r="G5" s="55"/>
      <c r="H5" s="55"/>
      <c r="I5" s="55"/>
      <c r="J5" s="55"/>
      <c r="K5" s="55"/>
      <c r="L5" s="55"/>
    </row>
    <row r="6" spans="2:12" x14ac:dyDescent="0.25">
      <c r="E6" s="55"/>
      <c r="F6" s="55"/>
      <c r="G6" s="55"/>
      <c r="H6" s="55"/>
      <c r="I6" s="55"/>
      <c r="J6" s="55"/>
      <c r="K6" s="55"/>
      <c r="L6" s="55"/>
    </row>
    <row r="7" spans="2:12" x14ac:dyDescent="0.25">
      <c r="E7" s="55"/>
      <c r="F7" s="55"/>
      <c r="G7" s="55"/>
      <c r="H7" s="55"/>
      <c r="I7" s="55"/>
      <c r="J7" s="55"/>
      <c r="K7" s="55"/>
      <c r="L7" s="55"/>
    </row>
    <row r="8" spans="2:12" x14ac:dyDescent="0.25">
      <c r="E8" s="55"/>
      <c r="F8" s="55"/>
      <c r="G8" s="55"/>
      <c r="H8" s="55"/>
      <c r="I8" s="55"/>
      <c r="J8" s="55"/>
      <c r="K8" s="55"/>
      <c r="L8" s="55"/>
    </row>
    <row r="9" spans="2:12" x14ac:dyDescent="0.25">
      <c r="E9" s="55"/>
      <c r="F9" s="55"/>
      <c r="G9" s="55"/>
      <c r="H9" s="55"/>
      <c r="I9" s="55"/>
      <c r="J9" s="55"/>
      <c r="K9" s="55"/>
      <c r="L9" s="55"/>
    </row>
    <row r="10" spans="2:12" x14ac:dyDescent="0.25">
      <c r="E10" s="54"/>
      <c r="F10" s="54"/>
      <c r="G10" s="54"/>
      <c r="H10" s="54"/>
      <c r="I10" s="54"/>
      <c r="J10" s="54"/>
      <c r="K10" s="54"/>
      <c r="L10" s="54"/>
    </row>
    <row r="11" spans="2:12" x14ac:dyDescent="0.25">
      <c r="E11" s="54"/>
      <c r="F11" s="54"/>
      <c r="G11" s="54"/>
      <c r="H11" s="54"/>
      <c r="I11" s="54"/>
      <c r="J11" s="54"/>
      <c r="K11" s="54"/>
      <c r="L11" s="54"/>
    </row>
    <row r="12" spans="2:12" x14ac:dyDescent="0.25">
      <c r="B12" s="5" t="s">
        <v>94</v>
      </c>
      <c r="C12" s="8" t="s">
        <v>95</v>
      </c>
      <c r="D12" s="8" t="s">
        <v>96</v>
      </c>
      <c r="E12" s="54"/>
      <c r="F12" s="63" t="s">
        <v>102</v>
      </c>
      <c r="G12" s="54"/>
      <c r="H12" s="62" t="s">
        <v>104</v>
      </c>
      <c r="I12" s="62"/>
      <c r="J12" s="62"/>
      <c r="K12" s="54"/>
      <c r="L12" s="54"/>
    </row>
    <row r="13" spans="2:12" x14ac:dyDescent="0.25">
      <c r="B13" s="11" t="s">
        <v>97</v>
      </c>
      <c r="C13" s="56">
        <v>23</v>
      </c>
      <c r="D13" s="59">
        <v>12313</v>
      </c>
      <c r="E13" s="54"/>
      <c r="F13" s="63" t="s">
        <v>103</v>
      </c>
      <c r="G13" s="54"/>
      <c r="H13" s="63" t="s">
        <v>105</v>
      </c>
      <c r="I13" s="63" t="s">
        <v>106</v>
      </c>
      <c r="J13" s="63" t="s">
        <v>14</v>
      </c>
      <c r="K13" s="54"/>
      <c r="L13" s="54"/>
    </row>
    <row r="14" spans="2:12" x14ac:dyDescent="0.25">
      <c r="B14" s="12" t="s">
        <v>98</v>
      </c>
      <c r="C14" s="57">
        <v>32</v>
      </c>
      <c r="D14" s="60">
        <v>34234</v>
      </c>
      <c r="E14" s="54"/>
      <c r="F14" s="64"/>
      <c r="G14" s="54"/>
      <c r="H14" s="64"/>
      <c r="I14" s="65"/>
      <c r="J14" s="65"/>
      <c r="K14" s="54"/>
      <c r="L14" s="54"/>
    </row>
    <row r="15" spans="2:12" x14ac:dyDescent="0.25">
      <c r="B15" s="12" t="s">
        <v>99</v>
      </c>
      <c r="C15" s="57">
        <v>34</v>
      </c>
      <c r="D15" s="60">
        <v>42323</v>
      </c>
      <c r="E15" s="54"/>
      <c r="F15" s="54"/>
      <c r="K15" s="54"/>
      <c r="L15" s="54"/>
    </row>
    <row r="16" spans="2:12" x14ac:dyDescent="0.25">
      <c r="B16" s="12" t="s">
        <v>100</v>
      </c>
      <c r="C16" s="57">
        <v>45</v>
      </c>
      <c r="D16" s="60">
        <v>12122</v>
      </c>
      <c r="E16" s="54"/>
      <c r="F16" s="54"/>
      <c r="G16" s="62" t="s">
        <v>107</v>
      </c>
      <c r="H16" s="62"/>
      <c r="I16" s="62"/>
      <c r="J16" s="62"/>
      <c r="K16" s="54"/>
      <c r="L16" s="54"/>
    </row>
    <row r="17" spans="2:12" x14ac:dyDescent="0.25">
      <c r="B17" s="13" t="s">
        <v>101</v>
      </c>
      <c r="C17" s="58">
        <v>54</v>
      </c>
      <c r="D17" s="61">
        <v>11123</v>
      </c>
      <c r="E17" s="54"/>
      <c r="F17" s="54"/>
      <c r="G17" s="63" t="s">
        <v>108</v>
      </c>
      <c r="H17" s="63" t="s">
        <v>109</v>
      </c>
      <c r="I17" s="63" t="s">
        <v>13</v>
      </c>
      <c r="J17" s="63" t="s">
        <v>14</v>
      </c>
      <c r="K17" s="54"/>
      <c r="L17" s="54"/>
    </row>
    <row r="18" spans="2:12" x14ac:dyDescent="0.25">
      <c r="E18" s="54"/>
      <c r="F18" s="54"/>
      <c r="G18" s="65"/>
      <c r="H18" s="65"/>
      <c r="I18" s="65"/>
      <c r="J18" s="65"/>
      <c r="K18" s="54"/>
      <c r="L18" s="54"/>
    </row>
    <row r="19" spans="2:12" x14ac:dyDescent="0.25">
      <c r="B19" t="s">
        <v>49</v>
      </c>
      <c r="C19" t="s">
        <v>110</v>
      </c>
      <c r="D19" t="s">
        <v>51</v>
      </c>
      <c r="E19" s="54" t="s">
        <v>52</v>
      </c>
      <c r="F19" s="54"/>
      <c r="G19" s="54"/>
      <c r="H19" s="54"/>
      <c r="I19" s="54"/>
      <c r="J19" s="54"/>
      <c r="K19" s="54"/>
      <c r="L19" s="54"/>
    </row>
    <row r="20" spans="2:12" x14ac:dyDescent="0.25">
      <c r="E20" s="54"/>
      <c r="F20" s="54"/>
      <c r="G20" s="54"/>
      <c r="H20" s="54"/>
      <c r="I20" s="54"/>
      <c r="J20" s="54"/>
      <c r="K20" s="54"/>
      <c r="L20" s="54"/>
    </row>
    <row r="21" spans="2:12" x14ac:dyDescent="0.25">
      <c r="B21" t="s">
        <v>53</v>
      </c>
      <c r="C21" t="s">
        <v>110</v>
      </c>
      <c r="D21" t="s">
        <v>19</v>
      </c>
      <c r="E21" s="54" t="s">
        <v>111</v>
      </c>
      <c r="F21" s="54"/>
      <c r="G21" s="54"/>
      <c r="H21" s="54"/>
      <c r="I21" s="54"/>
      <c r="J21" s="54"/>
      <c r="K21" s="54"/>
      <c r="L21" s="54"/>
    </row>
    <row r="22" spans="2:12" x14ac:dyDescent="0.25">
      <c r="E22" s="54"/>
      <c r="F22" s="54"/>
      <c r="G22" s="54"/>
      <c r="H22" s="54"/>
      <c r="I22" s="54"/>
      <c r="J22" s="54"/>
      <c r="K22" s="54"/>
      <c r="L22" s="54"/>
    </row>
    <row r="23" spans="2:12" x14ac:dyDescent="0.25">
      <c r="B23" t="s">
        <v>49</v>
      </c>
      <c r="C23" t="s">
        <v>112</v>
      </c>
      <c r="D23" t="s">
        <v>51</v>
      </c>
      <c r="E23" s="54" t="s">
        <v>52</v>
      </c>
    </row>
    <row r="25" spans="2:12" x14ac:dyDescent="0.25">
      <c r="B25" t="s">
        <v>53</v>
      </c>
      <c r="C25" t="s">
        <v>112</v>
      </c>
      <c r="D25" t="s">
        <v>19</v>
      </c>
      <c r="E25" s="54" t="s">
        <v>113</v>
      </c>
      <c r="H25" s="68" t="s">
        <v>119</v>
      </c>
    </row>
    <row r="27" spans="2:12" x14ac:dyDescent="0.25">
      <c r="B27" t="s">
        <v>49</v>
      </c>
      <c r="C27" t="s">
        <v>114</v>
      </c>
      <c r="D27" t="s">
        <v>51</v>
      </c>
      <c r="E27" s="54" t="s">
        <v>52</v>
      </c>
    </row>
    <row r="29" spans="2:12" x14ac:dyDescent="0.25">
      <c r="B29" t="s">
        <v>53</v>
      </c>
      <c r="C29" t="s">
        <v>114</v>
      </c>
      <c r="D29" t="s">
        <v>19</v>
      </c>
      <c r="E29" s="54" t="s">
        <v>115</v>
      </c>
    </row>
    <row r="31" spans="2:12" x14ac:dyDescent="0.25">
      <c r="B31" t="s">
        <v>116</v>
      </c>
      <c r="D31" t="s">
        <v>19</v>
      </c>
      <c r="E31" s="66" t="s">
        <v>117</v>
      </c>
      <c r="F31" s="66"/>
      <c r="G31" s="66"/>
      <c r="H31" s="66"/>
      <c r="I31" s="66"/>
    </row>
  </sheetData>
  <mergeCells count="5">
    <mergeCell ref="E31:I31"/>
    <mergeCell ref="B3:C3"/>
    <mergeCell ref="E3:L9"/>
    <mergeCell ref="H12:J12"/>
    <mergeCell ref="G16:J16"/>
  </mergeCells>
  <hyperlinks>
    <hyperlink ref="H25" r:id="rId1" xr:uid="{FC641ECD-429D-433E-9805-7EFBF2574F9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rReporteEmpleados">
                <anchor moveWithCells="1" sizeWithCells="1">
                  <from>
                    <xdr:col>7</xdr:col>
                    <xdr:colOff>371475</xdr:colOff>
                    <xdr:row>18</xdr:row>
                    <xdr:rowOff>142875</xdr:rowOff>
                  </from>
                  <to>
                    <xdr:col>10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Ejemplo 1 - Tablero de pagos</vt:lpstr>
      <vt:lpstr>Ubicación de Celdas</vt:lpstr>
      <vt:lpstr>Ejemplo 1</vt:lpstr>
      <vt:lpstr>Fórmulas de Celdas</vt:lpstr>
      <vt:lpstr>Práctica 1 - Desplazar celdas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2026-07-09T23:08:31Z</dcterms:created>
  <dcterms:modified xsi:type="dcterms:W3CDTF">2026-07-10T01:09:57Z</dcterms:modified>
</cp:coreProperties>
</file>