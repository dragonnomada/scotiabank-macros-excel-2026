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Curso Macros Excel - Scotiabank 2026\Grupo 2\"/>
    </mc:Choice>
  </mc:AlternateContent>
  <xr:revisionPtr revIDLastSave="0" documentId="13_ncr:1_{B1BB50DD-7DB1-4B45-8C81-471CAA69B349}" xr6:coauthVersionLast="47" xr6:coauthVersionMax="47" xr10:uidLastSave="{00000000-0000-0000-0000-000000000000}"/>
  <bookViews>
    <workbookView xWindow="-120" yWindow="-120" windowWidth="29040" windowHeight="15720" activeTab="2" xr2:uid="{14D4ED71-A4EA-462C-9392-38C7980D0558}"/>
  </bookViews>
  <sheets>
    <sheet name="Repaso de las Macros" sheetId="1" r:id="rId1"/>
    <sheet name="Cruce de información" sheetId="2" r:id="rId2"/>
    <sheet name="Reporte AB con Macros" sheetId="3" r:id="rId3"/>
  </sheets>
  <definedNames>
    <definedName name="_xlchart.v1.0" hidden="1">'Cruce de información'!$D$6:$D$19</definedName>
    <definedName name="_xlchart.v1.1" hidden="1">'Cruce de información'!$D$6:$D$19</definedName>
    <definedName name="_xleta.AVERAGE" hidden="1" xlm="1">#NAME?</definedName>
    <definedName name="_xleta.SUM" hidden="1" xlm="1">#NAME?</definedName>
    <definedName name="_xleta.UNIQ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4" i="3" l="1" a="1"/>
  <c r="H4" i="3" s="1"/>
  <c r="G5" i="3" a="1"/>
  <c r="G5" i="3" s="1"/>
  <c r="F34" i="3" a="1"/>
  <c r="F34" i="3" s="1"/>
  <c r="D35" i="3"/>
  <c r="D34" i="3"/>
  <c r="C36" i="3"/>
  <c r="D36" i="3" s="1"/>
  <c r="B36" i="3"/>
  <c r="B37" i="3" s="1"/>
  <c r="G24" i="2" a="1"/>
  <c r="G24" i="2" s="1"/>
  <c r="D27" i="2"/>
  <c r="J15" i="2"/>
  <c r="J14" i="2"/>
  <c r="J13" i="2"/>
  <c r="J25" i="2"/>
  <c r="G25" i="2" a="1"/>
  <c r="G25" i="2" s="1"/>
  <c r="H25" i="2" a="1"/>
  <c r="H25" i="2" s="1"/>
  <c r="I25" i="2" a="1"/>
  <c r="I25" i="2" s="1"/>
  <c r="H24" i="2" a="1"/>
  <c r="H24" i="2" s="1"/>
  <c r="I24" i="2" a="1"/>
  <c r="I24" i="2" s="1"/>
  <c r="D25" i="2" a="1"/>
  <c r="D25" i="2" s="1"/>
  <c r="M25" i="2"/>
  <c r="D23" i="2" a="1"/>
  <c r="D23" i="2" s="1"/>
  <c r="D21" i="2"/>
  <c r="C21" i="2"/>
  <c r="M23" i="2"/>
  <c r="M22" i="2"/>
  <c r="M21" i="2"/>
  <c r="G17" i="2"/>
  <c r="G18" i="2"/>
  <c r="G19" i="2"/>
  <c r="I17" i="2"/>
  <c r="I18" i="2"/>
  <c r="I19" i="2"/>
  <c r="H19" i="2"/>
  <c r="H18" i="2"/>
  <c r="H17" i="2"/>
  <c r="H15" i="2"/>
  <c r="I15" i="2"/>
  <c r="G15" i="2"/>
  <c r="G14" i="2" a="1"/>
  <c r="G14" i="2" s="1"/>
  <c r="H14" i="2" a="1"/>
  <c r="H14" i="2" s="1"/>
  <c r="I14" i="2" a="1"/>
  <c r="I14" i="2" s="1"/>
  <c r="H13" i="2" a="1"/>
  <c r="H13" i="2" s="1"/>
  <c r="I13" i="2" a="1"/>
  <c r="I13" i="2" s="1"/>
  <c r="G13" i="2" a="1"/>
  <c r="G13" i="2" s="1"/>
  <c r="J8" i="2"/>
  <c r="J7" i="2"/>
  <c r="J6" i="2"/>
  <c r="H8" i="2"/>
  <c r="I8" i="2"/>
  <c r="G8" i="2"/>
  <c r="H6" i="2" a="1"/>
  <c r="H6" i="2" s="1"/>
  <c r="I6" i="2" a="1"/>
  <c r="I6" i="2" s="1"/>
  <c r="H7" i="2" a="1"/>
  <c r="H7" i="2" s="1"/>
  <c r="I7" i="2" a="1"/>
  <c r="I7" i="2" s="1"/>
  <c r="G7" i="2" a="1"/>
  <c r="G7" i="2" s="1"/>
  <c r="G6" i="2" a="1"/>
  <c r="G6" i="2" s="1"/>
  <c r="C37" i="3" l="1"/>
  <c r="D37" i="3" s="1"/>
  <c r="B38" i="3"/>
  <c r="J26" i="2"/>
  <c r="J24" i="2"/>
  <c r="H26" i="2"/>
  <c r="I26" i="2"/>
  <c r="G26" i="2"/>
  <c r="B39" i="3" l="1"/>
  <c r="C38" i="3"/>
  <c r="D38" i="3" s="1"/>
  <c r="B40" i="3" l="1"/>
  <c r="C39" i="3"/>
  <c r="D39" i="3" s="1"/>
  <c r="B41" i="3" l="1"/>
  <c r="C40" i="3"/>
  <c r="D40" i="3" s="1"/>
  <c r="B42" i="3" l="1"/>
  <c r="C41" i="3"/>
  <c r="D41" i="3" s="1"/>
  <c r="B43" i="3" l="1"/>
  <c r="C42" i="3"/>
  <c r="D42" i="3" s="1"/>
  <c r="B44" i="3" l="1"/>
  <c r="C43" i="3"/>
  <c r="D43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<sst xmlns="http://schemas.openxmlformats.org/spreadsheetml/2006/main" count="179" uniqueCount="95">
  <si>
    <t>Total</t>
  </si>
  <si>
    <t>Ventas</t>
  </si>
  <si>
    <t>"=</t>
  </si>
  <si>
    <t>SUMA(B5:B"</t>
  </si>
  <si>
    <t>&amp; ultimaFila &amp;</t>
  </si>
  <si>
    <t>")"</t>
  </si>
  <si>
    <t>Dim</t>
  </si>
  <si>
    <t>ultimaFila</t>
  </si>
  <si>
    <t>As Integer</t>
  </si>
  <si>
    <t>ultimaFila =</t>
  </si>
  <si>
    <t>ws.Range("B5").End(xlDown)</t>
  </si>
  <si>
    <t>= SUMA(B5:B11)</t>
  </si>
  <si>
    <t>Macros</t>
  </si>
  <si>
    <t>Automatizar la construcción de valores y fórmulas de un reporte estático o dinámico</t>
  </si>
  <si>
    <t>=ORDENAR(B5:B11)</t>
  </si>
  <si>
    <t>%</t>
  </si>
  <si>
    <t>=E11/G8</t>
  </si>
  <si>
    <t>Monto</t>
  </si>
  <si>
    <t>#</t>
  </si>
  <si>
    <t>Reporte de ventas</t>
  </si>
  <si>
    <t>Sexo</t>
  </si>
  <si>
    <t>Hombre</t>
  </si>
  <si>
    <t>Mujer</t>
  </si>
  <si>
    <t>Grupo A</t>
  </si>
  <si>
    <t>Agregado</t>
  </si>
  <si>
    <t>Pruesto</t>
  </si>
  <si>
    <t>Salario</t>
  </si>
  <si>
    <t>Grupo B</t>
  </si>
  <si>
    <t>A/B</t>
  </si>
  <si>
    <t>Administrativo</t>
  </si>
  <si>
    <t>Contable</t>
  </si>
  <si>
    <t>Agregación</t>
  </si>
  <si>
    <t>SUMA</t>
  </si>
  <si>
    <t>PROMEDIO</t>
  </si>
  <si>
    <t>RECUENTO</t>
  </si>
  <si>
    <t>…</t>
  </si>
  <si>
    <t>Q1</t>
  </si>
  <si>
    <t>Q2</t>
  </si>
  <si>
    <t>Q3</t>
  </si>
  <si>
    <t>IQR</t>
  </si>
  <si>
    <t>Q1 (25%)</t>
  </si>
  <si>
    <t>Q2 (50%)</t>
  </si>
  <si>
    <t>Q3 (75%)</t>
  </si>
  <si>
    <t>Valores límites poblacionales</t>
  </si>
  <si>
    <t>&lt; 25%</t>
  </si>
  <si>
    <t>&gt; 75%</t>
  </si>
  <si>
    <t>Inferior</t>
  </si>
  <si>
    <t>Superior</t>
  </si>
  <si>
    <t>Medio</t>
  </si>
  <si>
    <t>&lt; 50%</t>
  </si>
  <si>
    <t>&gt; 50%</t>
  </si>
  <si>
    <t>&lt; 75%</t>
  </si>
  <si>
    <t>&gt; 25%</t>
  </si>
  <si>
    <t>Q3 - Q1</t>
  </si>
  <si>
    <t>aprox.</t>
  </si>
  <si>
    <t>Cuánto gastó hay en salarios y cómo se distribuyen</t>
  </si>
  <si>
    <t>Cúal es el salario promedio y cómo se distribuye</t>
  </si>
  <si>
    <t>PROMEDIO GLOBAL</t>
  </si>
  <si>
    <t>Distribución sesgada/cargada izquierda</t>
  </si>
  <si>
    <t>Cuál es la diferencia entre el salario superior y el inferior* y cómo se distribuyen</t>
  </si>
  <si>
    <t>Créditos dispuestos</t>
  </si>
  <si>
    <t>Valor continuo que se observe (edad, salario, peso, indicador, cantidad, …)</t>
  </si>
  <si>
    <t>Valor categórico / Varias categorías agrupadas (sexo, si está activo, si está cubierto, grupo de edad, tipo cliente, tipo de producto, …)</t>
  </si>
  <si>
    <t>Otro valor categórico de contraste al Grupo A</t>
  </si>
  <si>
    <t>Grupo de Edad</t>
  </si>
  <si>
    <t>Dispuesto</t>
  </si>
  <si>
    <t>SI</t>
  </si>
  <si>
    <t>NO</t>
  </si>
  <si>
    <t>68+</t>
  </si>
  <si>
    <t>18-23</t>
  </si>
  <si>
    <t>23-28</t>
  </si>
  <si>
    <t>28-33</t>
  </si>
  <si>
    <t>33-38</t>
  </si>
  <si>
    <t>38-43</t>
  </si>
  <si>
    <t>43-48</t>
  </si>
  <si>
    <t>48-53</t>
  </si>
  <si>
    <t>53-58</t>
  </si>
  <si>
    <t>58-63</t>
  </si>
  <si>
    <t>63-68</t>
  </si>
  <si>
    <t>A / B</t>
  </si>
  <si>
    <t>1. Escribir A / B en G4</t>
  </si>
  <si>
    <t>2. Encontrar los valores únicos y ordenados del Grupo A</t>
  </si>
  <si>
    <t>2.1 Identificar la última fila de la columna B para poder calcular de B19:B?</t>
  </si>
  <si>
    <t>2.2 Calcular los ordenados de los únicos de B19:B?</t>
  </si>
  <si>
    <t>3. Encontrar los valores únicos y ordenados del Grupo B</t>
  </si>
  <si>
    <t>3.3 Transponer los ordenados únicos</t>
  </si>
  <si>
    <t>3.1 Identificar la última fila de la columna B para poder calcular de C19:C?</t>
  </si>
  <si>
    <t>3.2 Calcular los ordenados de los únicos de C19:C?</t>
  </si>
  <si>
    <t>4. Determinar el valor de cada cruce</t>
  </si>
  <si>
    <t>H5:?? =SI.ERROR(RECUENTO(FILTRAR($D$19:$D$?; ($B$19:$B$? = $G5) * ($C$19:$C$?=H$4))), 0)</t>
  </si>
  <si>
    <t>4.1 Determinar la celda de última columna y fila para recuperar la matriz de la H5:??</t>
  </si>
  <si>
    <t>4.2 En el rango de la H5:?? replicar la fórmula general</t>
  </si>
  <si>
    <t>5. Obtener los marginales</t>
  </si>
  <si>
    <t>5.1 Determinar del rango de la H?:?? el promedio de la H5:H?</t>
  </si>
  <si>
    <t>5.2 De forma similar pero en la última columna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</si>
</sst>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80A]* #,##0.00_-;\-[$$-80A]* #,##0.00_-;_-[$$-80A]* &quot;-&quot;??_-;_-@_-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8"/>
      <name val="Aptos Narrow"/>
      <family val="2"/>
      <scheme val="minor"/>
    </font>
    <font>
      <sz val="11"/>
      <color theme="5" tint="-0.249977111117893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/>
      <top style="thin">
        <color rgb="FF3F3F3F"/>
      </top>
      <bottom style="thin">
        <color rgb="FFB2B2B2"/>
      </bottom>
      <diagonal/>
    </border>
    <border>
      <left/>
      <right/>
      <top style="thin">
        <color rgb="FF3F3F3F"/>
      </top>
      <bottom style="thin">
        <color rgb="FFB2B2B2"/>
      </bottom>
      <diagonal/>
    </border>
    <border>
      <left/>
      <right style="thin">
        <color rgb="FFB2B2B2"/>
      </right>
      <top style="thin">
        <color rgb="FF3F3F3F"/>
      </top>
      <bottom style="thin">
        <color rgb="FFB2B2B2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</cellStyleXfs>
  <cellXfs count="55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64" fontId="0" fillId="0" borderId="0" xfId="0" applyNumberFormat="1"/>
    <xf numFmtId="0" fontId="7" fillId="0" borderId="0" xfId="0" applyFont="1"/>
    <xf numFmtId="0" fontId="0" fillId="6" borderId="0" xfId="0" quotePrefix="1" applyFill="1" applyAlignment="1">
      <alignment horizontal="center"/>
    </xf>
    <xf numFmtId="164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164" fontId="0" fillId="6" borderId="0" xfId="0" quotePrefix="1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164" fontId="0" fillId="8" borderId="0" xfId="0" applyNumberFormat="1" applyFill="1" applyAlignment="1">
      <alignment horizontal="center"/>
    </xf>
    <xf numFmtId="164" fontId="0" fillId="8" borderId="0" xfId="0" applyNumberFormat="1" applyFill="1"/>
    <xf numFmtId="164" fontId="0" fillId="8" borderId="0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164" fontId="0" fillId="9" borderId="0" xfId="0" applyNumberFormat="1" applyFill="1" applyAlignment="1">
      <alignment horizontal="center"/>
    </xf>
    <xf numFmtId="164" fontId="0" fillId="9" borderId="0" xfId="0" applyNumberFormat="1" applyFill="1"/>
    <xf numFmtId="164" fontId="6" fillId="8" borderId="3" xfId="0" applyNumberFormat="1" applyFont="1" applyFill="1" applyBorder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7" borderId="0" xfId="0" applyNumberFormat="1" applyFill="1" applyBorder="1"/>
    <xf numFmtId="164" fontId="0" fillId="7" borderId="3" xfId="0" applyNumberFormat="1" applyFill="1" applyBorder="1"/>
    <xf numFmtId="164" fontId="0" fillId="10" borderId="0" xfId="0" applyNumberFormat="1" applyFill="1"/>
    <xf numFmtId="0" fontId="0" fillId="11" borderId="0" xfId="0" applyFill="1" applyAlignment="1">
      <alignment horizontal="center"/>
    </xf>
    <xf numFmtId="164" fontId="6" fillId="8" borderId="0" xfId="0" applyNumberFormat="1" applyFont="1" applyFill="1" applyBorder="1" applyAlignment="1">
      <alignment horizontal="center"/>
    </xf>
    <xf numFmtId="9" fontId="0" fillId="0" borderId="0" xfId="1" applyFont="1"/>
    <xf numFmtId="2" fontId="0" fillId="0" borderId="0" xfId="1" applyNumberFormat="1" applyFont="1" applyAlignment="1">
      <alignment horizontal="center"/>
    </xf>
    <xf numFmtId="9" fontId="0" fillId="0" borderId="0" xfId="1" applyFont="1" applyAlignment="1">
      <alignment horizontal="center"/>
    </xf>
    <xf numFmtId="164" fontId="8" fillId="8" borderId="0" xfId="0" applyNumberFormat="1" applyFont="1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2" xfId="5" applyFont="1" applyAlignment="1">
      <alignment horizontal="center"/>
    </xf>
    <xf numFmtId="0" fontId="0" fillId="5" borderId="4" xfId="5" applyFont="1" applyBorder="1" applyAlignment="1">
      <alignment horizontal="center"/>
    </xf>
    <xf numFmtId="0" fontId="0" fillId="5" borderId="5" xfId="5" applyFont="1" applyBorder="1" applyAlignment="1">
      <alignment horizontal="center"/>
    </xf>
    <xf numFmtId="0" fontId="0" fillId="5" borderId="6" xfId="5" applyFont="1" applyBorder="1" applyAlignment="1">
      <alignment horizontal="center"/>
    </xf>
    <xf numFmtId="0" fontId="8" fillId="12" borderId="0" xfId="0" applyFont="1" applyFill="1"/>
    <xf numFmtId="0" fontId="0" fillId="12" borderId="0" xfId="0" applyFill="1"/>
    <xf numFmtId="0" fontId="0" fillId="0" borderId="0" xfId="0" applyAlignment="1">
      <alignment horizontal="center" wrapText="1"/>
    </xf>
    <xf numFmtId="0" fontId="3" fillId="3" borderId="0" xfId="3" applyAlignment="1">
      <alignment horizontal="center"/>
    </xf>
    <xf numFmtId="0" fontId="0" fillId="0" borderId="0" xfId="0" applyAlignment="1">
      <alignment wrapText="1"/>
    </xf>
    <xf numFmtId="0" fontId="0" fillId="0" borderId="7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2" fillId="2" borderId="0" xfId="2" applyAlignment="1">
      <alignment horizontal="center"/>
    </xf>
    <xf numFmtId="0" fontId="2" fillId="2" borderId="0" xfId="2" applyAlignment="1">
      <alignment horizontal="center" vertical="center" wrapText="1"/>
    </xf>
    <xf numFmtId="0" fontId="0" fillId="5" borderId="2" xfId="5" applyFont="1"/>
    <xf numFmtId="0" fontId="4" fillId="4" borderId="1" xfId="4"/>
    <xf numFmtId="0" fontId="4" fillId="4" borderId="1" xfId="4" quotePrefix="1"/>
    <xf numFmtId="0" fontId="0" fillId="5" borderId="8" xfId="5" applyFont="1" applyBorder="1" applyAlignment="1">
      <alignment horizontal="left"/>
    </xf>
    <xf numFmtId="0" fontId="0" fillId="5" borderId="9" xfId="5" applyFont="1" applyBorder="1" applyAlignment="1">
      <alignment horizontal="left"/>
    </xf>
    <xf numFmtId="0" fontId="0" fillId="5" borderId="10" xfId="5" applyFont="1" applyBorder="1" applyAlignment="1">
      <alignment horizontal="left"/>
    </xf>
    <xf numFmtId="0" fontId="0" fillId="5" borderId="4" xfId="5" applyFont="1" applyBorder="1" applyAlignment="1">
      <alignment horizontal="left"/>
    </xf>
    <xf numFmtId="0" fontId="0" fillId="5" borderId="5" xfId="5" applyFont="1" applyBorder="1" applyAlignment="1">
      <alignment horizontal="left"/>
    </xf>
    <xf numFmtId="0" fontId="0" fillId="5" borderId="6" xfId="5" applyFont="1" applyBorder="1" applyAlignment="1">
      <alignment horizontal="left"/>
    </xf>
    <xf numFmtId="0" fontId="0" fillId="5" borderId="8" xfId="5" applyFont="1" applyBorder="1" applyAlignment="1">
      <alignment horizontal="left"/>
    </xf>
    <xf numFmtId="0" fontId="0" fillId="5" borderId="9" xfId="5" applyFont="1" applyBorder="1" applyAlignment="1">
      <alignment horizontal="left"/>
    </xf>
    <xf numFmtId="0" fontId="0" fillId="5" borderId="10" xfId="5" applyFont="1" applyBorder="1" applyAlignment="1">
      <alignment horizontal="left"/>
    </xf>
  </cellXfs>
  <cellStyles count="6">
    <cellStyle name="Bueno" xfId="2" builtinId="26"/>
    <cellStyle name="Neutral" xfId="3" builtinId="28"/>
    <cellStyle name="Normal" xfId="0" builtinId="0"/>
    <cellStyle name="Notas" xfId="5" builtinId="10"/>
    <cellStyle name="Porcentaje" xfId="1" builtinId="5"/>
    <cellStyle name="Salida" xfId="4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clusteredColumn" uniqueId="{00000000-3326-450E-B157-67E4E91B00A1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348029</xdr:colOff>
      <xdr:row>27</xdr:row>
      <xdr:rowOff>174381</xdr:rowOff>
    </xdr:from>
    <xdr:to>
      <xdr:col>6</xdr:col>
      <xdr:colOff>611798</xdr:colOff>
      <xdr:row>42</xdr:row>
      <xdr:rowOff>60081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314C4C11-9686-6504-77F1-8E0F36AA3FE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0029" y="5325208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1BAA3-6468-410F-9C87-6253A8BD8222}">
  <dimension ref="A2:L18"/>
  <sheetViews>
    <sheetView zoomScale="175" zoomScaleNormal="175" workbookViewId="0">
      <selection activeCell="I11" sqref="I11"/>
    </sheetView>
  </sheetViews>
  <sheetFormatPr baseColWidth="10" defaultRowHeight="15" x14ac:dyDescent="0.25"/>
  <cols>
    <col min="2" max="2" width="15.140625" customWidth="1"/>
    <col min="5" max="5" width="19.140625" customWidth="1"/>
    <col min="7" max="7" width="17.5703125" customWidth="1"/>
    <col min="11" max="11" width="14.42578125" customWidth="1"/>
  </cols>
  <sheetData>
    <row r="2" spans="1:12" x14ac:dyDescent="0.25">
      <c r="B2" t="s">
        <v>12</v>
      </c>
      <c r="D2" t="s">
        <v>13</v>
      </c>
    </row>
    <row r="4" spans="1:12" x14ac:dyDescent="0.25">
      <c r="A4" s="1" t="s">
        <v>18</v>
      </c>
      <c r="B4" s="1" t="s">
        <v>17</v>
      </c>
      <c r="I4" s="4" t="s">
        <v>6</v>
      </c>
      <c r="J4" s="4" t="s">
        <v>7</v>
      </c>
      <c r="K4" s="4" t="s">
        <v>8</v>
      </c>
      <c r="L4" s="4"/>
    </row>
    <row r="5" spans="1:12" x14ac:dyDescent="0.25">
      <c r="A5" s="1">
        <v>1</v>
      </c>
      <c r="B5" s="6">
        <v>12332</v>
      </c>
      <c r="D5" s="10" t="s">
        <v>19</v>
      </c>
      <c r="E5" s="10"/>
      <c r="F5" s="10"/>
      <c r="G5" s="10"/>
      <c r="I5" s="4"/>
      <c r="J5" s="4" t="s">
        <v>9</v>
      </c>
      <c r="K5" s="4" t="s">
        <v>10</v>
      </c>
      <c r="L5" s="4"/>
    </row>
    <row r="6" spans="1:12" x14ac:dyDescent="0.25">
      <c r="A6" s="1">
        <v>2</v>
      </c>
      <c r="B6" s="6">
        <v>2312</v>
      </c>
    </row>
    <row r="7" spans="1:12" x14ac:dyDescent="0.25">
      <c r="A7" s="1">
        <v>3</v>
      </c>
      <c r="B7" s="6">
        <v>2324</v>
      </c>
      <c r="G7" s="1" t="s">
        <v>0</v>
      </c>
    </row>
    <row r="8" spans="1:12" x14ac:dyDescent="0.25">
      <c r="A8" s="1">
        <v>4</v>
      </c>
      <c r="B8" s="6">
        <v>3434</v>
      </c>
      <c r="F8" s="1" t="s">
        <v>1</v>
      </c>
      <c r="G8" s="5" t="s">
        <v>11</v>
      </c>
      <c r="I8" s="2" t="s">
        <v>2</v>
      </c>
      <c r="J8" s="2" t="s">
        <v>3</v>
      </c>
      <c r="K8" s="2" t="s">
        <v>4</v>
      </c>
      <c r="L8" s="2" t="s">
        <v>5</v>
      </c>
    </row>
    <row r="9" spans="1:12" x14ac:dyDescent="0.25">
      <c r="A9" s="1">
        <v>5</v>
      </c>
      <c r="B9" s="6">
        <v>54534</v>
      </c>
    </row>
    <row r="10" spans="1:12" x14ac:dyDescent="0.25">
      <c r="A10" s="1">
        <v>6</v>
      </c>
      <c r="B10" s="6">
        <v>34234</v>
      </c>
      <c r="D10" s="1" t="s">
        <v>18</v>
      </c>
      <c r="E10" s="1" t="s">
        <v>17</v>
      </c>
      <c r="F10" s="1" t="s">
        <v>15</v>
      </c>
    </row>
    <row r="11" spans="1:12" x14ac:dyDescent="0.25">
      <c r="A11" s="1">
        <v>7</v>
      </c>
      <c r="B11" s="6">
        <v>61534</v>
      </c>
      <c r="D11" s="7">
        <v>2</v>
      </c>
      <c r="E11" s="8" t="s">
        <v>14</v>
      </c>
      <c r="F11" s="5" t="s">
        <v>16</v>
      </c>
    </row>
    <row r="12" spans="1:12" x14ac:dyDescent="0.25">
      <c r="D12" s="7">
        <v>3</v>
      </c>
      <c r="E12" s="9"/>
      <c r="F12" s="7"/>
      <c r="H12" s="6"/>
    </row>
    <row r="13" spans="1:12" x14ac:dyDescent="0.25">
      <c r="D13" s="7">
        <v>4</v>
      </c>
      <c r="E13" s="9"/>
      <c r="F13" s="7"/>
      <c r="H13" s="6"/>
    </row>
    <row r="14" spans="1:12" x14ac:dyDescent="0.25">
      <c r="D14" s="7">
        <v>1</v>
      </c>
      <c r="E14" s="9"/>
      <c r="F14" s="7"/>
      <c r="H14" s="6"/>
    </row>
    <row r="15" spans="1:12" x14ac:dyDescent="0.25">
      <c r="D15" s="7">
        <v>6</v>
      </c>
      <c r="E15" s="9"/>
      <c r="F15" s="7"/>
      <c r="H15" s="6"/>
    </row>
    <row r="16" spans="1:12" x14ac:dyDescent="0.25">
      <c r="D16" s="7">
        <v>5</v>
      </c>
      <c r="E16" s="9"/>
      <c r="F16" s="7"/>
      <c r="H16" s="6"/>
    </row>
    <row r="17" spans="4:8" x14ac:dyDescent="0.25">
      <c r="D17" s="7">
        <v>7</v>
      </c>
      <c r="E17" s="9"/>
      <c r="F17" s="7"/>
      <c r="H17" s="6"/>
    </row>
    <row r="18" spans="4:8" x14ac:dyDescent="0.25">
      <c r="H18" s="6"/>
    </row>
  </sheetData>
  <mergeCells count="1">
    <mergeCell ref="D5:G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B21BB-3FDF-459E-9012-8BF5E2056A00}">
  <dimension ref="B3:P50"/>
  <sheetViews>
    <sheetView zoomScale="130" zoomScaleNormal="130" workbookViewId="0">
      <selection activeCell="K16" sqref="K16"/>
    </sheetView>
  </sheetViews>
  <sheetFormatPr baseColWidth="10" defaultRowHeight="15" x14ac:dyDescent="0.25"/>
  <cols>
    <col min="2" max="2" width="11.42578125" style="1"/>
    <col min="3" max="3" width="14.7109375" customWidth="1"/>
    <col min="4" max="4" width="15.5703125" customWidth="1"/>
    <col min="7" max="7" width="14.140625" customWidth="1"/>
    <col min="8" max="8" width="14.7109375" customWidth="1"/>
    <col min="9" max="9" width="14.85546875" customWidth="1"/>
    <col min="10" max="10" width="15.85546875" customWidth="1"/>
    <col min="13" max="13" width="14.5703125" customWidth="1"/>
  </cols>
  <sheetData>
    <row r="3" spans="2:13" x14ac:dyDescent="0.25">
      <c r="B3" s="1" t="s">
        <v>23</v>
      </c>
      <c r="C3" s="1" t="s">
        <v>27</v>
      </c>
      <c r="D3" s="1" t="s">
        <v>24</v>
      </c>
      <c r="F3" s="1"/>
      <c r="G3" s="22" t="s">
        <v>32</v>
      </c>
      <c r="H3" s="22"/>
      <c r="I3" s="22"/>
      <c r="L3" s="1" t="s">
        <v>31</v>
      </c>
    </row>
    <row r="4" spans="2:13" x14ac:dyDescent="0.25">
      <c r="C4" s="1"/>
      <c r="D4" s="1"/>
      <c r="F4" s="30" t="s">
        <v>55</v>
      </c>
      <c r="G4" s="31"/>
      <c r="H4" s="31"/>
      <c r="I4" s="31"/>
      <c r="J4" s="32"/>
      <c r="M4" t="s">
        <v>32</v>
      </c>
    </row>
    <row r="5" spans="2:13" x14ac:dyDescent="0.25">
      <c r="B5" s="1" t="s">
        <v>20</v>
      </c>
      <c r="C5" s="1" t="s">
        <v>25</v>
      </c>
      <c r="D5" s="1" t="s">
        <v>26</v>
      </c>
      <c r="F5" s="6" t="s">
        <v>28</v>
      </c>
      <c r="G5" s="15" t="s">
        <v>29</v>
      </c>
      <c r="H5" s="15" t="s">
        <v>30</v>
      </c>
      <c r="I5" s="15" t="s">
        <v>1</v>
      </c>
      <c r="M5" t="s">
        <v>33</v>
      </c>
    </row>
    <row r="6" spans="2:13" x14ac:dyDescent="0.25">
      <c r="B6" s="1" t="s">
        <v>21</v>
      </c>
      <c r="C6" s="1" t="s">
        <v>29</v>
      </c>
      <c r="D6" s="27">
        <v>14000</v>
      </c>
      <c r="F6" s="18" t="s">
        <v>21</v>
      </c>
      <c r="G6" s="13" cm="1">
        <f t="array" ref="G6">SUM(_xlfn._xlws.FILTER($D$6:$D$19,($B$6:$B$19=$F6)*($C$6:$C$19=G$5)))</f>
        <v>42000</v>
      </c>
      <c r="H6" s="13" cm="1">
        <f t="array" ref="H6">SUM(_xlfn._xlws.FILTER($D$6:$D$19,($B$6:$B$19=$F6)*($C$6:$C$19=H$5)))</f>
        <v>23000</v>
      </c>
      <c r="I6" s="13" cm="1">
        <f t="array" ref="I6">SUM(_xlfn._xlws.FILTER($D$6:$D$19,($B$6:$B$19=$F6)*($C$6:$C$19=I$5)))</f>
        <v>31000</v>
      </c>
      <c r="J6" s="19">
        <f>SUM(G6:I6)</f>
        <v>96000</v>
      </c>
      <c r="M6" t="s">
        <v>34</v>
      </c>
    </row>
    <row r="7" spans="2:13" ht="15.75" thickBot="1" x14ac:dyDescent="0.3">
      <c r="B7" s="1" t="s">
        <v>22</v>
      </c>
      <c r="C7" s="1" t="s">
        <v>30</v>
      </c>
      <c r="D7" s="11">
        <v>18000</v>
      </c>
      <c r="F7" s="18" t="s">
        <v>22</v>
      </c>
      <c r="G7" s="17" cm="1">
        <f t="array" ref="G7">SUM(_xlfn._xlws.FILTER($D$6:$D$19,($B$6:$B$19=$F7)*($C$6:$C$19=G$5)))</f>
        <v>69000</v>
      </c>
      <c r="H7" s="17" cm="1">
        <f t="array" ref="H7">SUM(_xlfn._xlws.FILTER($D$6:$D$19,($B$6:$B$19=$F7)*($C$6:$C$19=H$5)))</f>
        <v>37000</v>
      </c>
      <c r="I7" s="14" cm="1">
        <f t="array" ref="I7">SUM(_xlfn._xlws.FILTER($D$6:$D$19,($B$6:$B$19=$F7)*($C$6:$C$19=I$5)))</f>
        <v>31000</v>
      </c>
      <c r="J7" s="20">
        <f>SUM(G7:I7)</f>
        <v>137000</v>
      </c>
      <c r="M7" t="s">
        <v>35</v>
      </c>
    </row>
    <row r="8" spans="2:13" x14ac:dyDescent="0.25">
      <c r="B8" s="1" t="s">
        <v>22</v>
      </c>
      <c r="C8" s="1" t="s">
        <v>29</v>
      </c>
      <c r="D8" s="27">
        <v>16000</v>
      </c>
      <c r="G8" s="16">
        <f>SUM(G6:G7)</f>
        <v>111000</v>
      </c>
      <c r="H8" s="16">
        <f t="shared" ref="H8:I8" si="0">SUM(H6:H7)</f>
        <v>60000</v>
      </c>
      <c r="I8" s="16">
        <f t="shared" si="0"/>
        <v>62000</v>
      </c>
      <c r="J8" s="21">
        <f>SUM(G6:I7)</f>
        <v>233000</v>
      </c>
      <c r="M8" t="s">
        <v>36</v>
      </c>
    </row>
    <row r="9" spans="2:13" x14ac:dyDescent="0.25">
      <c r="B9" s="1" t="s">
        <v>21</v>
      </c>
      <c r="C9" s="1" t="s">
        <v>29</v>
      </c>
      <c r="D9" s="27">
        <v>13000</v>
      </c>
      <c r="M9" t="s">
        <v>37</v>
      </c>
    </row>
    <row r="10" spans="2:13" x14ac:dyDescent="0.25">
      <c r="B10" s="1" t="s">
        <v>21</v>
      </c>
      <c r="C10" s="1" t="s">
        <v>1</v>
      </c>
      <c r="D10" s="27">
        <v>15000</v>
      </c>
      <c r="F10" s="1"/>
      <c r="G10" s="22" t="s">
        <v>33</v>
      </c>
      <c r="H10" s="22"/>
      <c r="I10" s="22"/>
      <c r="M10" t="s">
        <v>38</v>
      </c>
    </row>
    <row r="11" spans="2:13" x14ac:dyDescent="0.25">
      <c r="B11" s="1" t="s">
        <v>22</v>
      </c>
      <c r="C11" s="1" t="s">
        <v>29</v>
      </c>
      <c r="D11" s="11">
        <v>17000</v>
      </c>
      <c r="F11" s="29" t="s">
        <v>56</v>
      </c>
      <c r="G11" s="29"/>
      <c r="H11" s="29"/>
      <c r="I11" s="29"/>
      <c r="J11" s="29"/>
      <c r="M11" t="s">
        <v>39</v>
      </c>
    </row>
    <row r="12" spans="2:13" x14ac:dyDescent="0.25">
      <c r="B12" s="1" t="s">
        <v>22</v>
      </c>
      <c r="C12" s="1" t="s">
        <v>30</v>
      </c>
      <c r="D12" s="11">
        <v>19000</v>
      </c>
      <c r="F12" s="6" t="s">
        <v>28</v>
      </c>
      <c r="G12" s="15" t="s">
        <v>29</v>
      </c>
      <c r="H12" s="15" t="s">
        <v>30</v>
      </c>
      <c r="I12" s="15" t="s">
        <v>1</v>
      </c>
    </row>
    <row r="13" spans="2:13" x14ac:dyDescent="0.25">
      <c r="B13" s="1" t="s">
        <v>21</v>
      </c>
      <c r="C13" s="1" t="s">
        <v>29</v>
      </c>
      <c r="D13" s="27">
        <v>15000</v>
      </c>
      <c r="F13" s="18" t="s">
        <v>21</v>
      </c>
      <c r="G13" s="13" cm="1">
        <f t="array" ref="G13">AVERAGE(_xlfn._xlws.FILTER($D$6:$D$19,($B$6:$B$19=$F13)*($C$6:$C$19=G$5)))</f>
        <v>14000</v>
      </c>
      <c r="H13" s="23" cm="1">
        <f t="array" ref="H13">AVERAGE(_xlfn._xlws.FILTER($D$6:$D$19,($B$6:$B$19=$F13)*($C$6:$C$19=H$5)))</f>
        <v>23000</v>
      </c>
      <c r="I13" s="13" cm="1">
        <f t="array" ref="I13">AVERAGE(_xlfn._xlws.FILTER($D$6:$D$19,($B$6:$B$19=$F13)*($C$6:$C$19=I$5)))</f>
        <v>15500</v>
      </c>
      <c r="J13" s="19">
        <f>AVERAGE(G13:I13)</f>
        <v>17500</v>
      </c>
    </row>
    <row r="14" spans="2:13" x14ac:dyDescent="0.25">
      <c r="B14" s="1" t="s">
        <v>22</v>
      </c>
      <c r="C14" s="1" t="s">
        <v>29</v>
      </c>
      <c r="D14" s="11">
        <v>19000</v>
      </c>
      <c r="F14" s="18" t="s">
        <v>22</v>
      </c>
      <c r="G14" s="23" cm="1">
        <f t="array" ref="G14">AVERAGE(_xlfn._xlws.FILTER($D$6:$D$19,($B$6:$B$19=$F14)*($C$6:$C$19=G$5)))</f>
        <v>17250</v>
      </c>
      <c r="H14" s="13" cm="1">
        <f t="array" ref="H14">AVERAGE(_xlfn._xlws.FILTER($D$6:$D$19,($B$6:$B$19=$F14)*($C$6:$C$19=H$5)))</f>
        <v>18500</v>
      </c>
      <c r="I14" s="13" cm="1">
        <f t="array" ref="I14">AVERAGE(_xlfn._xlws.FILTER($D$6:$D$19,($B$6:$B$19=$F14)*($C$6:$C$19=I$5)))</f>
        <v>15500</v>
      </c>
      <c r="J14" s="19">
        <f>AVERAGE(G14:I14)</f>
        <v>17083.333333333332</v>
      </c>
    </row>
    <row r="15" spans="2:13" x14ac:dyDescent="0.25">
      <c r="B15" s="1" t="s">
        <v>22</v>
      </c>
      <c r="C15" s="1" t="s">
        <v>1</v>
      </c>
      <c r="D15" s="27">
        <v>16000</v>
      </c>
      <c r="G15" s="16">
        <f>AVERAGE(G13:G14)</f>
        <v>15625</v>
      </c>
      <c r="H15" s="16">
        <f t="shared" ref="H15:I15" si="1">AVERAGE(H13:H14)</f>
        <v>20750</v>
      </c>
      <c r="I15" s="16">
        <f t="shared" si="1"/>
        <v>15500</v>
      </c>
      <c r="J15" s="21">
        <f>AVERAGE(G13:I14)</f>
        <v>17291.666666666668</v>
      </c>
    </row>
    <row r="16" spans="2:13" x14ac:dyDescent="0.25">
      <c r="B16" s="1" t="s">
        <v>21</v>
      </c>
      <c r="C16" s="1" t="s">
        <v>30</v>
      </c>
      <c r="D16" s="12">
        <v>23000</v>
      </c>
    </row>
    <row r="17" spans="2:16" x14ac:dyDescent="0.25">
      <c r="B17" s="1" t="s">
        <v>22</v>
      </c>
      <c r="C17" s="1" t="s">
        <v>29</v>
      </c>
      <c r="D17" s="12">
        <v>17000</v>
      </c>
      <c r="G17" s="25">
        <f>G13/G14</f>
        <v>0.81159420289855078</v>
      </c>
      <c r="H17" s="25">
        <f>H13/H14</f>
        <v>1.2432432432432432</v>
      </c>
      <c r="I17" s="25">
        <f>I13/I14</f>
        <v>1</v>
      </c>
    </row>
    <row r="18" spans="2:16" x14ac:dyDescent="0.25">
      <c r="B18" s="1" t="s">
        <v>21</v>
      </c>
      <c r="C18" s="1" t="s">
        <v>1</v>
      </c>
      <c r="D18" s="27">
        <v>16000</v>
      </c>
      <c r="G18" s="26">
        <f>G14/G13</f>
        <v>1.2321428571428572</v>
      </c>
      <c r="H18" s="26">
        <f>H14/H13</f>
        <v>0.80434782608695654</v>
      </c>
      <c r="I18" s="26">
        <f>I14/I13</f>
        <v>1</v>
      </c>
    </row>
    <row r="19" spans="2:16" x14ac:dyDescent="0.25">
      <c r="B19" s="1" t="s">
        <v>22</v>
      </c>
      <c r="C19" s="1" t="s">
        <v>1</v>
      </c>
      <c r="D19" s="27">
        <v>15000</v>
      </c>
      <c r="G19" s="26">
        <f>(G13-G14)/G14</f>
        <v>-0.18840579710144928</v>
      </c>
      <c r="H19" s="26">
        <f>(H13-H14)/H14</f>
        <v>0.24324324324324326</v>
      </c>
      <c r="I19" s="26">
        <f>(I13-I14)/I14</f>
        <v>0</v>
      </c>
      <c r="L19" s="10" t="s">
        <v>43</v>
      </c>
      <c r="M19" s="10"/>
      <c r="N19" s="10"/>
      <c r="O19" s="10"/>
    </row>
    <row r="21" spans="2:16" x14ac:dyDescent="0.25">
      <c r="C21" s="24">
        <f>8/14</f>
        <v>0.5714285714285714</v>
      </c>
      <c r="D21" s="24">
        <f>1-8/14</f>
        <v>0.4285714285714286</v>
      </c>
      <c r="F21" s="1"/>
      <c r="G21" s="22" t="s">
        <v>39</v>
      </c>
      <c r="H21" s="22"/>
      <c r="I21" s="22"/>
      <c r="L21" t="s">
        <v>40</v>
      </c>
      <c r="M21" s="3">
        <f>_xlfn.PERCENTILE.INC(D6:D19,0.25)</f>
        <v>15000</v>
      </c>
      <c r="N21" s="1" t="s">
        <v>44</v>
      </c>
      <c r="O21" s="1" t="s">
        <v>45</v>
      </c>
      <c r="P21" t="s">
        <v>46</v>
      </c>
    </row>
    <row r="22" spans="2:16" x14ac:dyDescent="0.25">
      <c r="F22" s="30" t="s">
        <v>59</v>
      </c>
      <c r="G22" s="31"/>
      <c r="H22" s="31"/>
      <c r="I22" s="31"/>
      <c r="J22" s="32"/>
      <c r="L22" t="s">
        <v>41</v>
      </c>
      <c r="M22" s="3">
        <f>_xlfn.PERCENTILE.INC(D6:D19,0.5)</f>
        <v>16000</v>
      </c>
      <c r="N22" s="1" t="s">
        <v>49</v>
      </c>
      <c r="O22" s="1" t="s">
        <v>50</v>
      </c>
      <c r="P22" t="s">
        <v>48</v>
      </c>
    </row>
    <row r="23" spans="2:16" x14ac:dyDescent="0.25">
      <c r="D23" s="24" cm="1">
        <f t="array" ref="D23">COUNT(_xlfn._xlws.FILTER(D6:D19,D6:D19&gt;M23))/COUNT(D6:D19)</f>
        <v>0.2857142857142857</v>
      </c>
      <c r="F23" s="6" t="s">
        <v>28</v>
      </c>
      <c r="G23" s="15" t="s">
        <v>29</v>
      </c>
      <c r="H23" s="15" t="s">
        <v>30</v>
      </c>
      <c r="I23" s="15" t="s">
        <v>1</v>
      </c>
      <c r="L23" t="s">
        <v>42</v>
      </c>
      <c r="M23" s="3">
        <f>_xlfn.PERCENTILE.INC(D6:D19,0.75)</f>
        <v>17750</v>
      </c>
      <c r="N23" s="1" t="s">
        <v>51</v>
      </c>
      <c r="O23" s="1" t="s">
        <v>52</v>
      </c>
      <c r="P23" t="s">
        <v>47</v>
      </c>
    </row>
    <row r="24" spans="2:16" x14ac:dyDescent="0.25">
      <c r="F24" s="18" t="s">
        <v>21</v>
      </c>
      <c r="G24" s="23" cm="1">
        <f t="array" ref="G24">_xlfn.PERCENTILE.INC(_xlfn._xlws.FILTER($D$6:$D$19,($B$6:$B$19=$F24)*($C$6:$C$19=G$5)),0.75)-_xlfn.PERCENTILE.INC(_xlfn._xlws.FILTER($D$6:$D$19,($B$6:$B$19=$F24)*($C$6:$C$19=G$5)),0.25)</f>
        <v>1000</v>
      </c>
      <c r="H24" s="13" cm="1">
        <f t="array" ref="H24">_xlfn.PERCENTILE.INC(_xlfn._xlws.FILTER($D$6:$D$19,($B$6:$B$19=$F24)*($C$6:$C$19=H$5)),0.75)-_xlfn.PERCENTILE.INC(_xlfn._xlws.FILTER($D$6:$D$19,($B$6:$B$19=$F24)*($C$6:$C$19=H$5)),0.25)</f>
        <v>0</v>
      </c>
      <c r="I24" s="13" cm="1">
        <f t="array" ref="I24">_xlfn.PERCENTILE.INC(_xlfn._xlws.FILTER($D$6:$D$19,($B$6:$B$19=$F24)*($C$6:$C$19=I$5)),0.75)-_xlfn.PERCENTILE.INC(_xlfn._xlws.FILTER($D$6:$D$19,($B$6:$B$19=$F24)*($C$6:$C$19=I$5)),0.25)</f>
        <v>500</v>
      </c>
      <c r="J24" s="19">
        <f>AVERAGE(G24:I24)</f>
        <v>500</v>
      </c>
    </row>
    <row r="25" spans="2:16" x14ac:dyDescent="0.25">
      <c r="D25" s="24" cm="1">
        <f t="array" ref="D25">COUNT(_xlfn._xlws.FILTER(D6:D19,(D6:D19&gt;=M21) * (D6:D19&lt;=M23)))/COUNT(D6:D19)</f>
        <v>0.5714285714285714</v>
      </c>
      <c r="F25" s="18" t="s">
        <v>22</v>
      </c>
      <c r="G25" s="13" cm="1">
        <f t="array" ref="G25">_xlfn.PERCENTILE.INC(_xlfn._xlws.FILTER($D$6:$D$19,($B$6:$B$19=$F25)*($C$6:$C$19=G$5)),0.75)-_xlfn.PERCENTILE.INC(_xlfn._xlws.FILTER($D$6:$D$19,($B$6:$B$19=$F25)*($C$6:$C$19=G$5)),0.25)</f>
        <v>750</v>
      </c>
      <c r="H25" s="23" cm="1">
        <f t="array" ref="H25">_xlfn.PERCENTILE.INC(_xlfn._xlws.FILTER($D$6:$D$19,($B$6:$B$19=$F25)*($C$6:$C$19=H$5)),0.75)-_xlfn.PERCENTILE.INC(_xlfn._xlws.FILTER($D$6:$D$19,($B$6:$B$19=$F25)*($C$6:$C$19=H$5)),0.25)</f>
        <v>500</v>
      </c>
      <c r="I25" s="13" cm="1">
        <f t="array" ref="I25">_xlfn.PERCENTILE.INC(_xlfn._xlws.FILTER($D$6:$D$19,($B$6:$B$19=$F25)*($C$6:$C$19=I$5)),0.75)-_xlfn.PERCENTILE.INC(_xlfn._xlws.FILTER($D$6:$D$19,($B$6:$B$19=$F25)*($C$6:$C$19=I$5)),0.25)</f>
        <v>500</v>
      </c>
      <c r="J25" s="19">
        <f>AVERAGE(G25:I25)</f>
        <v>583.33333333333337</v>
      </c>
      <c r="L25" t="s">
        <v>39</v>
      </c>
      <c r="M25" s="3">
        <f>M23-M21</f>
        <v>2750</v>
      </c>
      <c r="N25" s="1" t="s">
        <v>54</v>
      </c>
      <c r="O25" s="28">
        <v>0.5</v>
      </c>
    </row>
    <row r="26" spans="2:16" x14ac:dyDescent="0.25">
      <c r="G26" s="16">
        <f>AVERAGE(G24:G25)</f>
        <v>875</v>
      </c>
      <c r="H26" s="16">
        <f t="shared" ref="H26" si="2">AVERAGE(H24:H25)</f>
        <v>250</v>
      </c>
      <c r="I26" s="16">
        <f t="shared" ref="I26" si="3">AVERAGE(I24:I25)</f>
        <v>500</v>
      </c>
      <c r="J26" s="21">
        <f>AVERAGE(G24:I25)</f>
        <v>541.66666666666663</v>
      </c>
      <c r="L26" t="s">
        <v>53</v>
      </c>
    </row>
    <row r="27" spans="2:16" x14ac:dyDescent="0.25">
      <c r="B27" s="10" t="s">
        <v>57</v>
      </c>
      <c r="C27" s="10"/>
      <c r="D27" s="3">
        <f>AVERAGE(D6:D19)</f>
        <v>16642.857142857141</v>
      </c>
    </row>
    <row r="31" spans="2:16" x14ac:dyDescent="0.25">
      <c r="L31" s="34"/>
    </row>
    <row r="32" spans="2:16" x14ac:dyDescent="0.25">
      <c r="L32" s="34"/>
    </row>
    <row r="33" spans="3:14" x14ac:dyDescent="0.25">
      <c r="K33" s="34"/>
      <c r="L33" s="34"/>
    </row>
    <row r="34" spans="3:14" x14ac:dyDescent="0.25">
      <c r="K34" s="34"/>
      <c r="L34" s="34"/>
    </row>
    <row r="35" spans="3:14" x14ac:dyDescent="0.25">
      <c r="K35" s="34"/>
      <c r="L35" s="34"/>
    </row>
    <row r="36" spans="3:14" x14ac:dyDescent="0.25">
      <c r="K36" s="34"/>
      <c r="L36" s="34"/>
    </row>
    <row r="37" spans="3:14" x14ac:dyDescent="0.25">
      <c r="K37" s="34"/>
      <c r="L37" s="34"/>
      <c r="M37" s="34"/>
    </row>
    <row r="38" spans="3:14" x14ac:dyDescent="0.25">
      <c r="K38" s="34"/>
      <c r="L38" s="34"/>
      <c r="M38" s="34"/>
    </row>
    <row r="39" spans="3:14" x14ac:dyDescent="0.25">
      <c r="J39" s="34"/>
      <c r="K39" s="34"/>
      <c r="L39" s="34"/>
      <c r="M39" s="34"/>
    </row>
    <row r="40" spans="3:14" x14ac:dyDescent="0.25">
      <c r="I40" s="33"/>
      <c r="J40" s="34"/>
      <c r="K40" s="34"/>
      <c r="L40" s="34"/>
      <c r="M40" s="34"/>
      <c r="N40" s="34"/>
    </row>
    <row r="43" spans="3:14" x14ac:dyDescent="0.25">
      <c r="J43" s="34"/>
    </row>
    <row r="44" spans="3:14" x14ac:dyDescent="0.25">
      <c r="C44" t="s">
        <v>58</v>
      </c>
      <c r="J44" s="34"/>
    </row>
    <row r="45" spans="3:14" x14ac:dyDescent="0.25">
      <c r="I45" s="34"/>
      <c r="J45" s="34"/>
    </row>
    <row r="46" spans="3:14" x14ac:dyDescent="0.25">
      <c r="I46" s="34"/>
      <c r="J46" s="34"/>
    </row>
    <row r="47" spans="3:14" x14ac:dyDescent="0.25">
      <c r="I47" s="34"/>
      <c r="J47" s="34"/>
    </row>
    <row r="48" spans="3:14" x14ac:dyDescent="0.25">
      <c r="I48" s="34"/>
      <c r="J48" s="34"/>
    </row>
    <row r="49" spans="9:14" x14ac:dyDescent="0.25">
      <c r="I49" s="34"/>
      <c r="J49" s="34"/>
      <c r="K49" s="34"/>
    </row>
    <row r="50" spans="9:14" x14ac:dyDescent="0.25">
      <c r="I50" s="34"/>
      <c r="J50" s="34"/>
      <c r="K50" s="34"/>
      <c r="L50" s="34"/>
      <c r="M50" s="34"/>
      <c r="N50" s="34"/>
    </row>
  </sheetData>
  <mergeCells count="8">
    <mergeCell ref="B27:C27"/>
    <mergeCell ref="F22:J22"/>
    <mergeCell ref="G3:I3"/>
    <mergeCell ref="G10:I10"/>
    <mergeCell ref="G21:I21"/>
    <mergeCell ref="L19:O19"/>
    <mergeCell ref="F4:J4"/>
    <mergeCell ref="F11:J1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06520-FCDA-4784-8EF9-7CBB27BD1DF2}">
  <dimension ref="B2:O44"/>
  <sheetViews>
    <sheetView tabSelected="1" zoomScale="115" zoomScaleNormal="115" workbookViewId="0">
      <selection activeCell="H30" sqref="H30"/>
    </sheetView>
  </sheetViews>
  <sheetFormatPr baseColWidth="10" defaultRowHeight="15" x14ac:dyDescent="0.25"/>
  <cols>
    <col min="3" max="3" width="14.5703125" customWidth="1"/>
    <col min="4" max="4" width="16.85546875" customWidth="1"/>
    <col min="5" max="5" width="14.42578125" customWidth="1"/>
  </cols>
  <sheetData>
    <row r="2" spans="2:15" x14ac:dyDescent="0.25">
      <c r="B2" t="s">
        <v>60</v>
      </c>
    </row>
    <row r="4" spans="2:15" x14ac:dyDescent="0.25">
      <c r="B4" t="s">
        <v>24</v>
      </c>
      <c r="C4" s="35" t="s">
        <v>61</v>
      </c>
      <c r="D4" s="35"/>
      <c r="E4" s="35"/>
      <c r="G4" s="39" t="s">
        <v>79</v>
      </c>
      <c r="H4" t="str" cm="1">
        <f t="array" ref="H4:O4">TRANSPOSE(_xlfn._xlws.SORT(_xlfn.UNIQUE(C19:C32)))</f>
        <v>18-23</v>
      </c>
      <c r="I4" t="str">
        <v>23-28</v>
      </c>
      <c r="J4" t="str">
        <v>28-33</v>
      </c>
      <c r="K4" t="str">
        <v>38-43</v>
      </c>
      <c r="L4" t="str">
        <v>43-48</v>
      </c>
      <c r="M4" t="str">
        <v>48-53</v>
      </c>
      <c r="N4" t="str">
        <v>58-63</v>
      </c>
      <c r="O4" t="str">
        <v>68+</v>
      </c>
    </row>
    <row r="5" spans="2:15" ht="15" customHeight="1" x14ac:dyDescent="0.25">
      <c r="C5" s="35"/>
      <c r="D5" s="35"/>
      <c r="E5" s="35"/>
      <c r="G5" t="str" cm="1">
        <f t="array" ref="G5:G6">_xlfn._xlws.SORT(_xlfn.UNIQUE(B19:B32))</f>
        <v>NO</v>
      </c>
      <c r="M5" s="40"/>
      <c r="N5" s="40"/>
    </row>
    <row r="6" spans="2:15" x14ac:dyDescent="0.25">
      <c r="C6" s="36" t="s">
        <v>17</v>
      </c>
      <c r="D6" s="36"/>
      <c r="E6" s="36"/>
      <c r="G6" t="str">
        <v>SI</v>
      </c>
      <c r="M6" s="40"/>
      <c r="N6" s="40"/>
    </row>
    <row r="7" spans="2:15" x14ac:dyDescent="0.25">
      <c r="M7" s="40"/>
      <c r="N7" s="40"/>
    </row>
    <row r="8" spans="2:15" ht="15" customHeight="1" x14ac:dyDescent="0.25">
      <c r="B8" t="s">
        <v>23</v>
      </c>
      <c r="C8" s="35" t="s">
        <v>62</v>
      </c>
      <c r="D8" s="35"/>
      <c r="E8" s="35"/>
    </row>
    <row r="9" spans="2:15" ht="15" customHeight="1" x14ac:dyDescent="0.25">
      <c r="C9" s="35"/>
      <c r="D9" s="35"/>
      <c r="E9" s="35"/>
      <c r="G9" s="41" t="s">
        <v>80</v>
      </c>
      <c r="H9" s="41"/>
      <c r="I9" s="41"/>
      <c r="J9" s="41"/>
      <c r="K9" s="41"/>
      <c r="L9" s="41"/>
      <c r="M9" s="41"/>
      <c r="N9" s="41"/>
      <c r="O9" s="41"/>
    </row>
    <row r="10" spans="2:15" x14ac:dyDescent="0.25">
      <c r="C10" s="35"/>
      <c r="D10" s="35"/>
      <c r="E10" s="35"/>
      <c r="M10" s="37"/>
      <c r="N10" s="37"/>
    </row>
    <row r="11" spans="2:15" x14ac:dyDescent="0.25">
      <c r="C11" s="36" t="s">
        <v>65</v>
      </c>
      <c r="D11" s="36"/>
      <c r="E11" s="36"/>
      <c r="G11" s="42" t="s">
        <v>81</v>
      </c>
      <c r="H11" s="42"/>
      <c r="I11" s="42"/>
      <c r="J11" s="42"/>
      <c r="K11" s="42"/>
      <c r="L11" s="42"/>
      <c r="M11" s="42"/>
      <c r="N11" s="42"/>
      <c r="O11" s="42"/>
    </row>
    <row r="12" spans="2:15" x14ac:dyDescent="0.25">
      <c r="G12" s="43" t="s">
        <v>82</v>
      </c>
      <c r="H12" s="43"/>
      <c r="I12" s="43"/>
      <c r="J12" s="43"/>
      <c r="K12" s="43"/>
      <c r="L12" s="43"/>
      <c r="M12" s="43"/>
      <c r="N12" s="43"/>
      <c r="O12" s="43"/>
    </row>
    <row r="13" spans="2:15" ht="15" customHeight="1" x14ac:dyDescent="0.25">
      <c r="B13" t="s">
        <v>27</v>
      </c>
      <c r="C13" t="s">
        <v>63</v>
      </c>
      <c r="G13" s="43" t="s">
        <v>83</v>
      </c>
      <c r="H13" s="43"/>
      <c r="I13" s="43"/>
      <c r="J13" s="43"/>
      <c r="K13" s="43"/>
      <c r="L13" s="43"/>
      <c r="M13" s="43"/>
      <c r="N13" s="43"/>
      <c r="O13" s="43"/>
    </row>
    <row r="14" spans="2:15" x14ac:dyDescent="0.25">
      <c r="C14" s="36" t="s">
        <v>64</v>
      </c>
      <c r="D14" s="36"/>
      <c r="E14" s="36"/>
      <c r="M14" s="40"/>
      <c r="N14" s="40"/>
    </row>
    <row r="15" spans="2:15" x14ac:dyDescent="0.25">
      <c r="G15" s="42" t="s">
        <v>84</v>
      </c>
      <c r="H15" s="42"/>
      <c r="I15" s="42"/>
      <c r="J15" s="42"/>
      <c r="K15" s="42"/>
      <c r="L15" s="42"/>
      <c r="M15" s="42"/>
      <c r="N15" s="42"/>
      <c r="O15" s="42"/>
    </row>
    <row r="16" spans="2:15" ht="15" customHeight="1" x14ac:dyDescent="0.25">
      <c r="G16" s="43" t="s">
        <v>86</v>
      </c>
      <c r="H16" s="43"/>
      <c r="I16" s="43"/>
      <c r="J16" s="43"/>
      <c r="K16" s="43"/>
      <c r="L16" s="43"/>
      <c r="M16" s="43"/>
      <c r="N16" s="43"/>
      <c r="O16" s="43"/>
    </row>
    <row r="17" spans="2:15" x14ac:dyDescent="0.25">
      <c r="B17" s="1" t="s">
        <v>23</v>
      </c>
      <c r="C17" s="1" t="s">
        <v>27</v>
      </c>
      <c r="D17" s="1" t="s">
        <v>24</v>
      </c>
      <c r="G17" s="43" t="s">
        <v>87</v>
      </c>
      <c r="H17" s="43"/>
      <c r="I17" s="43"/>
      <c r="J17" s="43"/>
      <c r="K17" s="43"/>
      <c r="L17" s="43"/>
      <c r="M17" s="43"/>
      <c r="N17" s="43"/>
      <c r="O17" s="43"/>
    </row>
    <row r="18" spans="2:15" ht="15" customHeight="1" x14ac:dyDescent="0.25">
      <c r="B18" s="38" t="s">
        <v>65</v>
      </c>
      <c r="C18" s="38" t="s">
        <v>64</v>
      </c>
      <c r="D18" s="38" t="s">
        <v>17</v>
      </c>
      <c r="G18" s="43" t="s">
        <v>85</v>
      </c>
      <c r="H18" s="43"/>
      <c r="I18" s="43"/>
      <c r="J18" s="43"/>
      <c r="K18" s="43"/>
      <c r="L18" s="43"/>
      <c r="M18" s="43"/>
      <c r="N18" s="43"/>
      <c r="O18" s="43"/>
    </row>
    <row r="19" spans="2:15" ht="15" customHeight="1" x14ac:dyDescent="0.25">
      <c r="B19" s="1" t="s">
        <v>66</v>
      </c>
      <c r="C19" s="1" t="s">
        <v>74</v>
      </c>
      <c r="D19" s="6">
        <v>330000</v>
      </c>
    </row>
    <row r="20" spans="2:15" x14ac:dyDescent="0.25">
      <c r="B20" s="1" t="s">
        <v>67</v>
      </c>
      <c r="C20" s="1" t="s">
        <v>69</v>
      </c>
      <c r="D20" s="6">
        <v>460000</v>
      </c>
      <c r="G20" s="42" t="s">
        <v>88</v>
      </c>
      <c r="H20" s="42"/>
      <c r="I20" s="42"/>
      <c r="J20" s="42"/>
      <c r="K20" s="42"/>
      <c r="L20" s="42"/>
      <c r="M20" s="42"/>
      <c r="N20" s="42"/>
      <c r="O20" s="42"/>
    </row>
    <row r="21" spans="2:15" x14ac:dyDescent="0.25">
      <c r="B21" s="1" t="s">
        <v>67</v>
      </c>
      <c r="C21" s="1" t="s">
        <v>71</v>
      </c>
      <c r="D21" s="6">
        <v>600000</v>
      </c>
      <c r="G21" s="45" t="s">
        <v>89</v>
      </c>
      <c r="H21" s="44"/>
      <c r="I21" s="44"/>
      <c r="J21" s="44"/>
      <c r="K21" s="44"/>
      <c r="L21" s="44"/>
      <c r="M21" s="44"/>
      <c r="N21" s="44"/>
      <c r="O21" s="44"/>
    </row>
    <row r="22" spans="2:15" x14ac:dyDescent="0.25">
      <c r="B22" s="1" t="s">
        <v>66</v>
      </c>
      <c r="C22" s="1" t="s">
        <v>77</v>
      </c>
      <c r="D22" s="6">
        <v>560000</v>
      </c>
      <c r="G22" s="46" t="s">
        <v>90</v>
      </c>
      <c r="H22" s="47"/>
      <c r="I22" s="47"/>
      <c r="J22" s="47"/>
      <c r="K22" s="47"/>
      <c r="L22" s="47"/>
      <c r="M22" s="47"/>
      <c r="N22" s="47"/>
      <c r="O22" s="48"/>
    </row>
    <row r="23" spans="2:15" x14ac:dyDescent="0.25">
      <c r="B23" s="1" t="s">
        <v>67</v>
      </c>
      <c r="C23" s="1" t="s">
        <v>77</v>
      </c>
      <c r="D23" s="6">
        <v>554430</v>
      </c>
      <c r="G23" s="49" t="s">
        <v>91</v>
      </c>
      <c r="H23" s="50"/>
      <c r="I23" s="50"/>
      <c r="J23" s="50"/>
      <c r="K23" s="50"/>
      <c r="L23" s="50"/>
      <c r="M23" s="50"/>
      <c r="N23" s="50"/>
      <c r="O23" s="51"/>
    </row>
    <row r="24" spans="2:15" x14ac:dyDescent="0.25">
      <c r="B24" s="1" t="s">
        <v>66</v>
      </c>
      <c r="C24" s="1" t="s">
        <v>71</v>
      </c>
      <c r="D24" s="6">
        <v>280000</v>
      </c>
    </row>
    <row r="25" spans="2:15" x14ac:dyDescent="0.25">
      <c r="B25" s="1" t="s">
        <v>66</v>
      </c>
      <c r="C25" s="1" t="s">
        <v>71</v>
      </c>
      <c r="D25" s="6">
        <v>120000</v>
      </c>
      <c r="G25" s="42" t="s">
        <v>92</v>
      </c>
      <c r="H25" s="42"/>
      <c r="I25" s="42"/>
      <c r="J25" s="42"/>
      <c r="K25" s="42"/>
      <c r="L25" s="42"/>
      <c r="M25" s="42"/>
      <c r="N25" s="42"/>
      <c r="O25" s="42"/>
    </row>
    <row r="26" spans="2:15" x14ac:dyDescent="0.25">
      <c r="B26" s="1" t="s">
        <v>67</v>
      </c>
      <c r="C26" s="1" t="s">
        <v>77</v>
      </c>
      <c r="D26" s="6">
        <v>1234560</v>
      </c>
      <c r="G26" s="52" t="s">
        <v>93</v>
      </c>
      <c r="H26" s="53"/>
      <c r="I26" s="53"/>
      <c r="J26" s="53"/>
      <c r="K26" s="53"/>
      <c r="L26" s="53"/>
      <c r="M26" s="53"/>
      <c r="N26" s="53"/>
      <c r="O26" s="54"/>
    </row>
    <row r="27" spans="2:15" x14ac:dyDescent="0.25">
      <c r="B27" s="1" t="s">
        <v>67</v>
      </c>
      <c r="C27" s="1" t="s">
        <v>68</v>
      </c>
      <c r="D27" s="6">
        <v>900000</v>
      </c>
      <c r="G27" s="49" t="s">
        <v>94</v>
      </c>
      <c r="H27" s="50"/>
      <c r="I27" s="50"/>
      <c r="J27" s="50"/>
      <c r="K27" s="50"/>
      <c r="L27" s="50"/>
      <c r="M27" s="50"/>
      <c r="N27" s="50"/>
      <c r="O27" s="51"/>
    </row>
    <row r="28" spans="2:15" x14ac:dyDescent="0.25">
      <c r="B28" s="1" t="s">
        <v>66</v>
      </c>
      <c r="C28" s="1" t="s">
        <v>70</v>
      </c>
      <c r="D28" s="6">
        <v>3400000</v>
      </c>
    </row>
    <row r="29" spans="2:15" x14ac:dyDescent="0.25">
      <c r="B29" s="1" t="s">
        <v>67</v>
      </c>
      <c r="C29" s="1" t="s">
        <v>71</v>
      </c>
      <c r="D29" s="6">
        <v>690000</v>
      </c>
    </row>
    <row r="30" spans="2:15" x14ac:dyDescent="0.25">
      <c r="B30" s="1" t="s">
        <v>66</v>
      </c>
      <c r="C30" s="1" t="s">
        <v>73</v>
      </c>
      <c r="D30" s="6">
        <v>720000</v>
      </c>
    </row>
    <row r="31" spans="2:15" x14ac:dyDescent="0.25">
      <c r="B31" s="1" t="s">
        <v>66</v>
      </c>
      <c r="C31" s="1" t="s">
        <v>75</v>
      </c>
      <c r="D31" s="6">
        <v>48000</v>
      </c>
    </row>
    <row r="32" spans="2:15" x14ac:dyDescent="0.25">
      <c r="B32" s="1" t="s">
        <v>67</v>
      </c>
      <c r="C32" s="1" t="s">
        <v>73</v>
      </c>
      <c r="D32" s="6">
        <v>260000</v>
      </c>
    </row>
    <row r="34" spans="2:6" x14ac:dyDescent="0.25">
      <c r="B34">
        <v>18</v>
      </c>
      <c r="C34">
        <v>23</v>
      </c>
      <c r="D34" t="str">
        <f>B34&amp;"-"&amp;C34</f>
        <v>18-23</v>
      </c>
      <c r="E34" t="s">
        <v>69</v>
      </c>
      <c r="F34" t="str" cm="1">
        <f t="array" ref="F34:F41">_xlfn._xlws.SORT(_xlfn.UNIQUE(C19:C32))</f>
        <v>18-23</v>
      </c>
    </row>
    <row r="35" spans="2:6" x14ac:dyDescent="0.25">
      <c r="B35">
        <v>23</v>
      </c>
      <c r="C35">
        <v>28</v>
      </c>
      <c r="D35" t="str">
        <f t="shared" ref="D35:D43" si="0">B35&amp;"-"&amp;C35</f>
        <v>23-28</v>
      </c>
      <c r="E35" t="s">
        <v>70</v>
      </c>
      <c r="F35" t="str">
        <v>23-28</v>
      </c>
    </row>
    <row r="36" spans="2:6" x14ac:dyDescent="0.25">
      <c r="B36">
        <f>B35+5</f>
        <v>28</v>
      </c>
      <c r="C36">
        <f>B36+5</f>
        <v>33</v>
      </c>
      <c r="D36" t="str">
        <f t="shared" si="0"/>
        <v>28-33</v>
      </c>
      <c r="E36" t="s">
        <v>71</v>
      </c>
      <c r="F36" t="str">
        <v>28-33</v>
      </c>
    </row>
    <row r="37" spans="2:6" x14ac:dyDescent="0.25">
      <c r="B37">
        <f t="shared" ref="B37:B44" si="1">B36+5</f>
        <v>33</v>
      </c>
      <c r="C37">
        <f t="shared" ref="C37:C43" si="2">B37+5</f>
        <v>38</v>
      </c>
      <c r="D37" t="str">
        <f t="shared" si="0"/>
        <v>33-38</v>
      </c>
      <c r="E37" t="s">
        <v>72</v>
      </c>
      <c r="F37" t="str">
        <v>38-43</v>
      </c>
    </row>
    <row r="38" spans="2:6" x14ac:dyDescent="0.25">
      <c r="B38">
        <f t="shared" si="1"/>
        <v>38</v>
      </c>
      <c r="C38">
        <f t="shared" si="2"/>
        <v>43</v>
      </c>
      <c r="D38" t="str">
        <f t="shared" si="0"/>
        <v>38-43</v>
      </c>
      <c r="E38" t="s">
        <v>73</v>
      </c>
      <c r="F38" t="str">
        <v>43-48</v>
      </c>
    </row>
    <row r="39" spans="2:6" x14ac:dyDescent="0.25">
      <c r="B39">
        <f t="shared" si="1"/>
        <v>43</v>
      </c>
      <c r="C39">
        <f t="shared" si="2"/>
        <v>48</v>
      </c>
      <c r="D39" t="str">
        <f t="shared" si="0"/>
        <v>43-48</v>
      </c>
      <c r="E39" t="s">
        <v>74</v>
      </c>
      <c r="F39" t="str">
        <v>48-53</v>
      </c>
    </row>
    <row r="40" spans="2:6" x14ac:dyDescent="0.25">
      <c r="B40">
        <f t="shared" si="1"/>
        <v>48</v>
      </c>
      <c r="C40">
        <f t="shared" si="2"/>
        <v>53</v>
      </c>
      <c r="D40" t="str">
        <f t="shared" si="0"/>
        <v>48-53</v>
      </c>
      <c r="E40" t="s">
        <v>75</v>
      </c>
      <c r="F40" t="str">
        <v>58-63</v>
      </c>
    </row>
    <row r="41" spans="2:6" x14ac:dyDescent="0.25">
      <c r="B41">
        <f t="shared" si="1"/>
        <v>53</v>
      </c>
      <c r="C41">
        <f t="shared" si="2"/>
        <v>58</v>
      </c>
      <c r="D41" t="str">
        <f t="shared" si="0"/>
        <v>53-58</v>
      </c>
      <c r="E41" t="s">
        <v>76</v>
      </c>
      <c r="F41" t="str">
        <v>68+</v>
      </c>
    </row>
    <row r="42" spans="2:6" x14ac:dyDescent="0.25">
      <c r="B42">
        <f t="shared" si="1"/>
        <v>58</v>
      </c>
      <c r="C42">
        <f t="shared" si="2"/>
        <v>63</v>
      </c>
      <c r="D42" t="str">
        <f t="shared" si="0"/>
        <v>58-63</v>
      </c>
      <c r="E42" t="s">
        <v>77</v>
      </c>
    </row>
    <row r="43" spans="2:6" x14ac:dyDescent="0.25">
      <c r="B43">
        <f t="shared" si="1"/>
        <v>63</v>
      </c>
      <c r="C43">
        <f t="shared" si="2"/>
        <v>68</v>
      </c>
      <c r="D43" t="str">
        <f t="shared" si="0"/>
        <v>63-68</v>
      </c>
      <c r="E43" t="s">
        <v>78</v>
      </c>
    </row>
    <row r="44" spans="2:6" x14ac:dyDescent="0.25">
      <c r="B44">
        <f t="shared" si="1"/>
        <v>68</v>
      </c>
      <c r="D44" t="s">
        <v>68</v>
      </c>
      <c r="E44" t="s">
        <v>68</v>
      </c>
    </row>
  </sheetData>
  <mergeCells count="19">
    <mergeCell ref="G27:O27"/>
    <mergeCell ref="G20:O20"/>
    <mergeCell ref="G21:O21"/>
    <mergeCell ref="G22:O22"/>
    <mergeCell ref="G23:O23"/>
    <mergeCell ref="G25:O25"/>
    <mergeCell ref="G13:O13"/>
    <mergeCell ref="G15:O15"/>
    <mergeCell ref="G9:O9"/>
    <mergeCell ref="G16:O16"/>
    <mergeCell ref="G17:O17"/>
    <mergeCell ref="G18:O18"/>
    <mergeCell ref="G11:O11"/>
    <mergeCell ref="G12:O12"/>
    <mergeCell ref="C4:E5"/>
    <mergeCell ref="C6:E6"/>
    <mergeCell ref="C11:E11"/>
    <mergeCell ref="C8:E10"/>
    <mergeCell ref="C14:E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Repaso de las Macros</vt:lpstr>
      <vt:lpstr>Cruce de información</vt:lpstr>
      <vt:lpstr>Reporte AB con 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Badillo Salas</dc:creator>
  <cp:lastModifiedBy>Alan Badillo Salas</cp:lastModifiedBy>
  <dcterms:created xsi:type="dcterms:W3CDTF">2026-07-16T23:12:20Z</dcterms:created>
  <dcterms:modified xsi:type="dcterms:W3CDTF">2026-07-17T01:02:05Z</dcterms:modified>
</cp:coreProperties>
</file>