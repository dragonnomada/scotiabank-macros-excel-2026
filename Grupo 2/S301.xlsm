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ocuments/Curso Macros Excel 2026/Grupo 2/"/>
    </mc:Choice>
  </mc:AlternateContent>
  <xr:revisionPtr revIDLastSave="0" documentId="8_{C2B68371-F6C3-314C-ACF9-6F39FB5BFD2D}" xr6:coauthVersionLast="47" xr6:coauthVersionMax="47" xr10:uidLastSave="{00000000-0000-0000-0000-000000000000}"/>
  <bookViews>
    <workbookView xWindow="0" yWindow="600" windowWidth="28800" windowHeight="16100" activeTab="4" xr2:uid="{B1CE84AF-5096-4042-B37E-1E9CD4F47B15}"/>
  </bookViews>
  <sheets>
    <sheet name="Repaso" sheetId="1" r:id="rId1"/>
    <sheet name="Acumulados" sheetId="2" r:id="rId2"/>
    <sheet name="Arreglo de Acumulados" sheetId="3" r:id="rId3"/>
    <sheet name="Matriz de Conteos" sheetId="4" r:id="rId4"/>
    <sheet name="Hoja5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7" i="4" l="1"/>
  <c r="I6" i="4"/>
  <c r="E6" i="4" s="1"/>
  <c r="I5" i="4"/>
  <c r="H7" i="2"/>
  <c r="H8" i="2"/>
  <c r="H9" i="2"/>
  <c r="H10" i="2"/>
  <c r="H11" i="2"/>
  <c r="H6" i="2"/>
  <c r="G7" i="2"/>
  <c r="G8" i="2"/>
  <c r="G9" i="2"/>
  <c r="G10" i="2"/>
  <c r="G11" i="2"/>
  <c r="G6" i="2"/>
  <c r="F8" i="2"/>
  <c r="F9" i="2" s="1"/>
  <c r="F10" i="2" s="1"/>
  <c r="F11" i="2" s="1"/>
  <c r="F7" i="2"/>
  <c r="F6" i="2"/>
  <c r="E8" i="2"/>
  <c r="E9" i="2" s="1"/>
  <c r="E10" i="2" s="1"/>
  <c r="E11" i="2" s="1"/>
  <c r="E7" i="2"/>
  <c r="E6" i="2"/>
  <c r="D7" i="2"/>
  <c r="D8" i="2"/>
  <c r="D9" i="2"/>
  <c r="D10" i="2"/>
  <c r="D11" i="2"/>
  <c r="D6" i="2"/>
  <c r="E20" i="4" l="1"/>
  <c r="E19" i="4"/>
  <c r="E12" i="4"/>
  <c r="E21" i="4"/>
  <c r="E11" i="4"/>
  <c r="E10" i="4"/>
  <c r="E13" i="4"/>
  <c r="E9" i="4"/>
  <c r="E16" i="4"/>
  <c r="E8" i="4"/>
  <c r="E18" i="4"/>
  <c r="E7" i="4"/>
  <c r="E17" i="4"/>
  <c r="E5" i="4"/>
  <c r="E15" i="4"/>
  <c r="E22" i="4"/>
  <c r="E14" i="4"/>
</calcChain>
</file>

<file path=xl/sharedStrings.xml><?xml version="1.0" encoding="utf-8"?>
<sst xmlns="http://schemas.openxmlformats.org/spreadsheetml/2006/main" count="142" uniqueCount="71">
  <si>
    <t>Manejo de Hojas y Celdas</t>
  </si>
  <si>
    <t>Dim</t>
  </si>
  <si>
    <t>ws</t>
  </si>
  <si>
    <t>As</t>
  </si>
  <si>
    <t>Worksheet</t>
  </si>
  <si>
    <t>Set</t>
  </si>
  <si>
    <t>=</t>
  </si>
  <si>
    <t>Sheets("Hoja1")</t>
  </si>
  <si>
    <t>ThisWorkbook.Worksheets("Hoja1")</t>
  </si>
  <si>
    <t>ActiveSheet</t>
  </si>
  <si>
    <t>celdaA1</t>
  </si>
  <si>
    <t>Range</t>
  </si>
  <si>
    <t>ws.Range("A1")</t>
  </si>
  <si>
    <t>ws.Cells(1, 1)</t>
  </si>
  <si>
    <t>.Value</t>
  </si>
  <si>
    <t>.Formula</t>
  </si>
  <si>
    <t>.Formula2</t>
  </si>
  <si>
    <t>.Fomula2Local</t>
  </si>
  <si>
    <t>.Formula2R1C1</t>
  </si>
  <si>
    <t>.Formula2R1C1Local</t>
  </si>
  <si>
    <t>.Clear</t>
  </si>
  <si>
    <t>.ClearContents</t>
  </si>
  <si>
    <t>.Row</t>
  </si>
  <si>
    <t>.Column</t>
  </si>
  <si>
    <t>.Address</t>
  </si>
  <si>
    <t>X</t>
  </si>
  <si>
    <t>Y</t>
  </si>
  <si>
    <t>Acum. X</t>
  </si>
  <si>
    <t>Acum. Y</t>
  </si>
  <si>
    <t>Acum. X (%)</t>
  </si>
  <si>
    <t>X (%)</t>
  </si>
  <si>
    <t>Calcular los arreglos</t>
  </si>
  <si>
    <t>Matriz de valores</t>
  </si>
  <si>
    <t>6 x 1</t>
  </si>
  <si>
    <t>Sexo</t>
  </si>
  <si>
    <t>Puesto</t>
  </si>
  <si>
    <t>Salario</t>
  </si>
  <si>
    <t>Hombre</t>
  </si>
  <si>
    <t>Mujer</t>
  </si>
  <si>
    <t>A</t>
  </si>
  <si>
    <t>B</t>
  </si>
  <si>
    <t>Cortes</t>
  </si>
  <si>
    <t>Cuartiles</t>
  </si>
  <si>
    <t>Q1 (25%)</t>
  </si>
  <si>
    <t>Q2 (50%)</t>
  </si>
  <si>
    <t>Q3 (75%)</t>
  </si>
  <si>
    <t>Mediana</t>
  </si>
  <si>
    <t>Tipo Salario</t>
  </si>
  <si>
    <t>SEXO</t>
  </si>
  <si>
    <t>PUESTO</t>
  </si>
  <si>
    <t>TIPO SALARIO</t>
  </si>
  <si>
    <t>ALTO</t>
  </si>
  <si>
    <t>BAJO</t>
  </si>
  <si>
    <t>Matriz</t>
  </si>
  <si>
    <t>X1</t>
  </si>
  <si>
    <t>X2</t>
  </si>
  <si>
    <t>C1</t>
  </si>
  <si>
    <t>C2</t>
  </si>
  <si>
    <t>C3</t>
  </si>
  <si>
    <t>X3</t>
  </si>
  <si>
    <t>DEBITO</t>
  </si>
  <si>
    <t>SUCURSAL 1</t>
  </si>
  <si>
    <t>ADMINISTRATIVO</t>
  </si>
  <si>
    <t>CREDITO</t>
  </si>
  <si>
    <t>SUCURSAL 4</t>
  </si>
  <si>
    <t>SIN EMPLEO</t>
  </si>
  <si>
    <t>X4</t>
  </si>
  <si>
    <t>SUCURSAL 2</t>
  </si>
  <si>
    <t>Acum. X2 (%)</t>
  </si>
  <si>
    <t>Acum. X3 (%)</t>
  </si>
  <si>
    <t>ADMNISTRATIVO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</si>
</sst>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1"/>
      <name val="Aptos Narrow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44" fontId="0" fillId="0" borderId="0" xfId="1" applyFont="1" applyAlignment="1">
      <alignment horizontal="center"/>
    </xf>
    <xf numFmtId="9" fontId="0" fillId="0" borderId="0" xfId="2" applyFont="1" applyAlignment="1">
      <alignment horizontal="center"/>
    </xf>
    <xf numFmtId="9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'Arreglo de Acumulados'!$D$5:$D$10</c:f>
              <c:numCache>
                <c:formatCode>0%</c:formatCode>
                <c:ptCount val="6"/>
                <c:pt idx="0">
                  <c:v>0.15337423312883436</c:v>
                </c:pt>
                <c:pt idx="1">
                  <c:v>0.3834355828220859</c:v>
                </c:pt>
                <c:pt idx="2">
                  <c:v>0.61809815950920244</c:v>
                </c:pt>
                <c:pt idx="3">
                  <c:v>0.66411042944785281</c:v>
                </c:pt>
                <c:pt idx="4">
                  <c:v>0.69478527607361962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AB-D34B-A9B5-C2011FAD8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809407"/>
        <c:axId val="640808959"/>
      </c:areaChart>
      <c:catAx>
        <c:axId val="6408094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40808959"/>
        <c:crosses val="autoZero"/>
        <c:auto val="1"/>
        <c:lblAlgn val="ctr"/>
        <c:lblOffset val="100"/>
        <c:noMultiLvlLbl val="0"/>
      </c:catAx>
      <c:valAx>
        <c:axId val="64080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64080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105139</xdr:colOff>
          <xdr:row>6</xdr:row>
          <xdr:rowOff>108401</xdr:rowOff>
        </xdr:from>
        <xdr:to>
          <xdr:col>6</xdr:col>
          <xdr:colOff>803639</xdr:colOff>
          <xdr:row>8</xdr:row>
          <xdr:rowOff>83001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CEF866D-6D97-BC11-2E16-174163E37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24983</xdr:colOff>
      <xdr:row>10</xdr:row>
      <xdr:rowOff>120476</xdr:rowOff>
    </xdr:from>
    <xdr:to>
      <xdr:col>5</xdr:col>
      <xdr:colOff>190152</xdr:colOff>
      <xdr:row>24</xdr:row>
      <xdr:rowOff>46080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DAB0E42-87A3-9555-2FAC-A3BBC55916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15</xdr:row>
          <xdr:rowOff>76200</xdr:rowOff>
        </xdr:from>
        <xdr:to>
          <xdr:col>8</xdr:col>
          <xdr:colOff>0</xdr:colOff>
          <xdr:row>17</xdr:row>
          <xdr:rowOff>50800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91C5B50-579C-FD56-EDD5-CC483D7E7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894A-756E-FD4F-9F61-503077AE65BF}">
  <sheetPr codeName="Hoja1"/>
  <dimension ref="B3:E26"/>
  <sheetViews>
    <sheetView zoomScale="136" workbookViewId="0">
      <selection activeCell="F22" sqref="F22"/>
    </sheetView>
  </sheetViews>
  <sheetFormatPr baseColWidth="10" defaultRowHeight="16" x14ac:dyDescent="0.2"/>
  <sheetData>
    <row r="3" spans="2:5" x14ac:dyDescent="0.2">
      <c r="B3" t="s">
        <v>0</v>
      </c>
    </row>
    <row r="5" spans="2:5" x14ac:dyDescent="0.2">
      <c r="B5" t="s">
        <v>1</v>
      </c>
      <c r="C5" t="s">
        <v>2</v>
      </c>
      <c r="D5" t="s">
        <v>3</v>
      </c>
      <c r="E5" t="s">
        <v>4</v>
      </c>
    </row>
    <row r="7" spans="2:5" x14ac:dyDescent="0.2">
      <c r="B7" t="s">
        <v>5</v>
      </c>
      <c r="C7" t="s">
        <v>2</v>
      </c>
      <c r="D7" t="s">
        <v>6</v>
      </c>
      <c r="E7" t="s">
        <v>7</v>
      </c>
    </row>
    <row r="8" spans="2:5" x14ac:dyDescent="0.2">
      <c r="E8" t="s">
        <v>8</v>
      </c>
    </row>
    <row r="9" spans="2:5" x14ac:dyDescent="0.2">
      <c r="E9" t="s">
        <v>9</v>
      </c>
    </row>
    <row r="11" spans="2:5" x14ac:dyDescent="0.2">
      <c r="B11" t="s">
        <v>1</v>
      </c>
      <c r="C11" t="s">
        <v>10</v>
      </c>
      <c r="D11" t="s">
        <v>3</v>
      </c>
      <c r="E11" t="s">
        <v>11</v>
      </c>
    </row>
    <row r="13" spans="2:5" x14ac:dyDescent="0.2">
      <c r="B13" t="s">
        <v>5</v>
      </c>
      <c r="C13" t="s">
        <v>10</v>
      </c>
      <c r="D13" t="s">
        <v>6</v>
      </c>
      <c r="E13" t="s">
        <v>12</v>
      </c>
    </row>
    <row r="14" spans="2:5" x14ac:dyDescent="0.2">
      <c r="E14" t="s">
        <v>13</v>
      </c>
    </row>
    <row r="16" spans="2:5" x14ac:dyDescent="0.2">
      <c r="C16" t="s">
        <v>10</v>
      </c>
      <c r="D16" t="s">
        <v>14</v>
      </c>
    </row>
    <row r="17" spans="4:4" x14ac:dyDescent="0.2">
      <c r="D17" t="s">
        <v>15</v>
      </c>
    </row>
    <row r="18" spans="4:4" x14ac:dyDescent="0.2">
      <c r="D18" t="s">
        <v>16</v>
      </c>
    </row>
    <row r="19" spans="4:4" x14ac:dyDescent="0.2">
      <c r="D19" t="s">
        <v>17</v>
      </c>
    </row>
    <row r="20" spans="4:4" x14ac:dyDescent="0.2">
      <c r="D20" t="s">
        <v>18</v>
      </c>
    </row>
    <row r="21" spans="4:4" x14ac:dyDescent="0.2">
      <c r="D21" t="s">
        <v>19</v>
      </c>
    </row>
    <row r="22" spans="4:4" x14ac:dyDescent="0.2">
      <c r="D22" t="s">
        <v>20</v>
      </c>
    </row>
    <row r="23" spans="4:4" x14ac:dyDescent="0.2">
      <c r="D23" t="s">
        <v>21</v>
      </c>
    </row>
    <row r="24" spans="4:4" x14ac:dyDescent="0.2">
      <c r="D24" t="s">
        <v>22</v>
      </c>
    </row>
    <row r="25" spans="4:4" x14ac:dyDescent="0.2">
      <c r="D25" t="s">
        <v>23</v>
      </c>
    </row>
    <row r="26" spans="4:4" x14ac:dyDescent="0.2">
      <c r="D26" t="s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400E7-2A88-3A40-BFCF-33D750406792}">
  <sheetPr codeName="Hoja2"/>
  <dimension ref="C5:H11"/>
  <sheetViews>
    <sheetView topLeftCell="A3" zoomScale="215" workbookViewId="0">
      <selection activeCell="C5" sqref="C5:C11"/>
    </sheetView>
  </sheetViews>
  <sheetFormatPr baseColWidth="10" defaultRowHeight="16" x14ac:dyDescent="0.2"/>
  <cols>
    <col min="3" max="4" width="11.5" bestFit="1" customWidth="1"/>
    <col min="6" max="6" width="14.83203125" customWidth="1"/>
    <col min="7" max="7" width="11.83203125" customWidth="1"/>
    <col min="8" max="8" width="12.5" customWidth="1"/>
  </cols>
  <sheetData>
    <row r="5" spans="3:8" x14ac:dyDescent="0.2">
      <c r="C5" s="1" t="s">
        <v>25</v>
      </c>
      <c r="D5" s="1" t="s">
        <v>26</v>
      </c>
      <c r="E5" s="1" t="s">
        <v>28</v>
      </c>
      <c r="F5" s="1" t="s">
        <v>27</v>
      </c>
      <c r="G5" s="1" t="s">
        <v>30</v>
      </c>
      <c r="H5" s="1" t="s">
        <v>29</v>
      </c>
    </row>
    <row r="6" spans="3:8" x14ac:dyDescent="0.2">
      <c r="C6" s="3">
        <v>15800</v>
      </c>
      <c r="D6" s="4">
        <f>C6 / SUM(C$6:C$11)</f>
        <v>0.13608957795004306</v>
      </c>
      <c r="E6" s="5">
        <f>D6</f>
        <v>0.13608957795004306</v>
      </c>
      <c r="F6" s="6">
        <f>C6</f>
        <v>15800</v>
      </c>
      <c r="G6" s="4">
        <f>C6/$F$11</f>
        <v>0.13608957795004306</v>
      </c>
      <c r="H6" s="4">
        <f>F6/$F$11</f>
        <v>0.13608957795004306</v>
      </c>
    </row>
    <row r="7" spans="3:8" x14ac:dyDescent="0.2">
      <c r="C7" s="3">
        <v>19600</v>
      </c>
      <c r="D7" s="4">
        <f t="shared" ref="D7:D11" si="0">C7 / SUM(C$6:C$11)</f>
        <v>0.16881998277347116</v>
      </c>
      <c r="E7" s="5">
        <f>E6+D7</f>
        <v>0.30490956072351422</v>
      </c>
      <c r="F7" s="6">
        <f>C7+F6</f>
        <v>35400</v>
      </c>
      <c r="G7" s="4">
        <f t="shared" ref="G7:G11" si="1">C7/$F$11</f>
        <v>0.16881998277347116</v>
      </c>
      <c r="H7" s="4">
        <f t="shared" ref="H7:H11" si="2">F7/$F$11</f>
        <v>0.30490956072351422</v>
      </c>
    </row>
    <row r="8" spans="3:8" x14ac:dyDescent="0.2">
      <c r="C8" s="3">
        <v>15300</v>
      </c>
      <c r="D8" s="4">
        <f t="shared" si="0"/>
        <v>0.13178294573643412</v>
      </c>
      <c r="E8" s="5">
        <f t="shared" ref="E8:E11" si="3">E7+D8</f>
        <v>0.43669250645994834</v>
      </c>
      <c r="F8" s="6">
        <f t="shared" ref="F8:F11" si="4">C8+F7</f>
        <v>50700</v>
      </c>
      <c r="G8" s="4">
        <f t="shared" si="1"/>
        <v>0.13178294573643412</v>
      </c>
      <c r="H8" s="4">
        <f t="shared" si="2"/>
        <v>0.43669250645994834</v>
      </c>
    </row>
    <row r="9" spans="3:8" x14ac:dyDescent="0.2">
      <c r="C9" s="3">
        <v>23800</v>
      </c>
      <c r="D9" s="4">
        <f t="shared" si="0"/>
        <v>0.20499569336778639</v>
      </c>
      <c r="E9" s="5">
        <f t="shared" si="3"/>
        <v>0.64168819982773473</v>
      </c>
      <c r="F9" s="6">
        <f t="shared" si="4"/>
        <v>74500</v>
      </c>
      <c r="G9" s="4">
        <f t="shared" si="1"/>
        <v>0.20499569336778639</v>
      </c>
      <c r="H9" s="4">
        <f t="shared" si="2"/>
        <v>0.64168819982773473</v>
      </c>
    </row>
    <row r="10" spans="3:8" x14ac:dyDescent="0.2">
      <c r="C10" s="3">
        <v>21700</v>
      </c>
      <c r="D10" s="4">
        <f t="shared" si="0"/>
        <v>0.18690783807062877</v>
      </c>
      <c r="E10" s="5">
        <f t="shared" si="3"/>
        <v>0.82859603789836345</v>
      </c>
      <c r="F10" s="6">
        <f t="shared" si="4"/>
        <v>96200</v>
      </c>
      <c r="G10" s="4">
        <f t="shared" si="1"/>
        <v>0.18690783807062877</v>
      </c>
      <c r="H10" s="4">
        <f t="shared" si="2"/>
        <v>0.82859603789836345</v>
      </c>
    </row>
    <row r="11" spans="3:8" x14ac:dyDescent="0.2">
      <c r="C11" s="3">
        <v>19900</v>
      </c>
      <c r="D11" s="4">
        <f t="shared" si="0"/>
        <v>0.17140396210163653</v>
      </c>
      <c r="E11" s="5">
        <f t="shared" si="3"/>
        <v>1</v>
      </c>
      <c r="F11" s="6">
        <f t="shared" si="4"/>
        <v>116100</v>
      </c>
      <c r="G11" s="4">
        <f t="shared" si="1"/>
        <v>0.17140396210163653</v>
      </c>
      <c r="H11" s="4">
        <f t="shared" si="2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701E1-B77D-DB4C-AEFA-B3B4D2AC5B41}">
  <sheetPr codeName="Hoja3"/>
  <dimension ref="B3:I10"/>
  <sheetViews>
    <sheetView topLeftCell="A6" zoomScale="183" workbookViewId="0">
      <selection activeCell="G13" sqref="G13"/>
    </sheetView>
  </sheetViews>
  <sheetFormatPr baseColWidth="10" defaultRowHeight="16" x14ac:dyDescent="0.2"/>
  <cols>
    <col min="2" max="2" width="17.83203125" customWidth="1"/>
    <col min="3" max="3" width="18.33203125" customWidth="1"/>
  </cols>
  <sheetData>
    <row r="3" spans="2:9" x14ac:dyDescent="0.2">
      <c r="G3" t="s">
        <v>32</v>
      </c>
      <c r="I3" t="s">
        <v>33</v>
      </c>
    </row>
    <row r="4" spans="2:9" x14ac:dyDescent="0.2">
      <c r="B4" s="1" t="s">
        <v>25</v>
      </c>
      <c r="C4" s="3" t="s">
        <v>27</v>
      </c>
      <c r="D4" s="4" t="s">
        <v>29</v>
      </c>
      <c r="E4" s="4" t="s">
        <v>30</v>
      </c>
      <c r="G4" t="s">
        <v>31</v>
      </c>
    </row>
    <row r="5" spans="2:9" x14ac:dyDescent="0.2">
      <c r="B5" s="3">
        <v>10000</v>
      </c>
      <c r="C5" s="3">
        <v>10000</v>
      </c>
      <c r="D5" s="4">
        <v>0.15337423312883436</v>
      </c>
      <c r="E5" s="4"/>
    </row>
    <row r="6" spans="2:9" x14ac:dyDescent="0.2">
      <c r="B6" s="3">
        <v>15000</v>
      </c>
      <c r="C6" s="3">
        <v>25000</v>
      </c>
      <c r="D6" s="4">
        <v>0.3834355828220859</v>
      </c>
      <c r="E6" s="4"/>
    </row>
    <row r="7" spans="2:9" x14ac:dyDescent="0.2">
      <c r="B7" s="3">
        <v>15300</v>
      </c>
      <c r="C7" s="3">
        <v>40300</v>
      </c>
      <c r="D7" s="4">
        <v>0.61809815950920244</v>
      </c>
      <c r="E7" s="4"/>
    </row>
    <row r="8" spans="2:9" x14ac:dyDescent="0.2">
      <c r="B8" s="3">
        <v>3000</v>
      </c>
      <c r="C8" s="3">
        <v>43300</v>
      </c>
      <c r="D8" s="4">
        <v>0.66411042944785281</v>
      </c>
      <c r="E8" s="4"/>
    </row>
    <row r="9" spans="2:9" x14ac:dyDescent="0.2">
      <c r="B9" s="3">
        <v>2000</v>
      </c>
      <c r="C9" s="3">
        <v>45300</v>
      </c>
      <c r="D9" s="4">
        <v>0.69478527607361962</v>
      </c>
      <c r="E9" s="4"/>
    </row>
    <row r="10" spans="2:9" x14ac:dyDescent="0.2">
      <c r="B10" s="3">
        <v>19900</v>
      </c>
      <c r="C10" s="3">
        <v>65200</v>
      </c>
      <c r="D10" s="4">
        <v>1</v>
      </c>
      <c r="E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cro1">
                <anchor moveWithCells="1" sizeWithCells="1">
                  <from>
                    <xdr:col>5</xdr:col>
                    <xdr:colOff>101600</xdr:colOff>
                    <xdr:row>6</xdr:row>
                    <xdr:rowOff>114300</xdr:rowOff>
                  </from>
                  <to>
                    <xdr:col>6</xdr:col>
                    <xdr:colOff>800100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5A323-6712-F241-9413-08A128D5DBDF}">
  <sheetPr codeName="Hoja4"/>
  <dimension ref="B3:K22"/>
  <sheetViews>
    <sheetView zoomScale="189" workbookViewId="0">
      <selection activeCell="G11" sqref="G11"/>
    </sheetView>
  </sheetViews>
  <sheetFormatPr baseColWidth="10" defaultRowHeight="16" x14ac:dyDescent="0.2"/>
  <cols>
    <col min="2" max="4" width="10.83203125" style="1"/>
    <col min="5" max="5" width="11.5" style="1" bestFit="1" customWidth="1"/>
    <col min="9" max="9" width="13.6640625" customWidth="1"/>
  </cols>
  <sheetData>
    <row r="3" spans="2:11" x14ac:dyDescent="0.2">
      <c r="G3" t="s">
        <v>41</v>
      </c>
    </row>
    <row r="4" spans="2:11" x14ac:dyDescent="0.2">
      <c r="B4" s="1" t="s">
        <v>34</v>
      </c>
      <c r="C4" s="1" t="s">
        <v>35</v>
      </c>
      <c r="D4" s="1" t="s">
        <v>36</v>
      </c>
      <c r="E4" s="1" t="s">
        <v>47</v>
      </c>
      <c r="G4" s="1" t="s">
        <v>46</v>
      </c>
      <c r="H4" s="1" t="s">
        <v>42</v>
      </c>
    </row>
    <row r="5" spans="2:11" x14ac:dyDescent="0.2">
      <c r="B5" s="1" t="s">
        <v>37</v>
      </c>
      <c r="C5" s="1" t="s">
        <v>39</v>
      </c>
      <c r="D5" s="1">
        <v>19000</v>
      </c>
      <c r="E5" s="1" t="str">
        <f>IF(D5&gt;=$I$6, "ALTO", "BAJO")</f>
        <v>ALTO</v>
      </c>
      <c r="H5" t="s">
        <v>43</v>
      </c>
      <c r="I5" s="2">
        <f>_xlfn.PERCENTILE.INC(D5:D22, 0.25)</f>
        <v>12250</v>
      </c>
    </row>
    <row r="6" spans="2:11" x14ac:dyDescent="0.2">
      <c r="B6" s="1" t="s">
        <v>38</v>
      </c>
      <c r="C6" s="1" t="s">
        <v>40</v>
      </c>
      <c r="D6" s="1">
        <v>14000</v>
      </c>
      <c r="E6" s="1" t="str">
        <f t="shared" ref="E6:E22" si="0">IF(D6&gt;=$I$6, "ALTO", "BAJO")</f>
        <v>BAJO</v>
      </c>
      <c r="G6" t="s">
        <v>44</v>
      </c>
      <c r="H6" t="s">
        <v>44</v>
      </c>
      <c r="I6" s="2">
        <f>_xlfn.PERCENTILE.INC(D5:D22, 0.5)</f>
        <v>15500</v>
      </c>
    </row>
    <row r="7" spans="2:11" x14ac:dyDescent="0.2">
      <c r="B7" s="1" t="s">
        <v>38</v>
      </c>
      <c r="C7" s="1" t="s">
        <v>40</v>
      </c>
      <c r="D7" s="1">
        <v>15000</v>
      </c>
      <c r="E7" s="1" t="str">
        <f t="shared" si="0"/>
        <v>BAJO</v>
      </c>
      <c r="H7" t="s">
        <v>45</v>
      </c>
      <c r="I7" s="2">
        <f>_xlfn.PERCENTILE.INC(D5:D22,0.75)</f>
        <v>24000</v>
      </c>
    </row>
    <row r="8" spans="2:11" x14ac:dyDescent="0.2">
      <c r="B8" s="1" t="s">
        <v>37</v>
      </c>
      <c r="C8" s="1" t="s">
        <v>39</v>
      </c>
      <c r="D8" s="1">
        <v>11000</v>
      </c>
      <c r="E8" s="1" t="str">
        <f t="shared" si="0"/>
        <v>BAJO</v>
      </c>
    </row>
    <row r="9" spans="2:11" x14ac:dyDescent="0.2">
      <c r="B9" s="1" t="s">
        <v>37</v>
      </c>
      <c r="C9" s="1" t="s">
        <v>39</v>
      </c>
      <c r="D9" s="1">
        <v>28000</v>
      </c>
      <c r="E9" s="1" t="str">
        <f t="shared" si="0"/>
        <v>ALTO</v>
      </c>
      <c r="H9" s="8" t="s">
        <v>49</v>
      </c>
      <c r="I9" s="8"/>
      <c r="J9" s="8"/>
      <c r="K9" s="8"/>
    </row>
    <row r="10" spans="2:11" x14ac:dyDescent="0.2">
      <c r="B10" s="1" t="s">
        <v>38</v>
      </c>
      <c r="C10" s="1" t="s">
        <v>40</v>
      </c>
      <c r="D10" s="1">
        <v>13000</v>
      </c>
      <c r="E10" s="1" t="str">
        <f t="shared" si="0"/>
        <v>BAJO</v>
      </c>
      <c r="H10" s="8" t="s">
        <v>39</v>
      </c>
      <c r="I10" s="8"/>
      <c r="J10" s="8" t="s">
        <v>40</v>
      </c>
      <c r="K10" s="8"/>
    </row>
    <row r="11" spans="2:11" x14ac:dyDescent="0.2">
      <c r="B11" s="1" t="s">
        <v>38</v>
      </c>
      <c r="C11" s="1" t="s">
        <v>40</v>
      </c>
      <c r="D11" s="1">
        <v>11000</v>
      </c>
      <c r="E11" s="1" t="str">
        <f t="shared" si="0"/>
        <v>BAJO</v>
      </c>
      <c r="H11" s="8" t="s">
        <v>50</v>
      </c>
      <c r="I11" s="8"/>
      <c r="J11" s="8" t="s">
        <v>50</v>
      </c>
      <c r="K11" s="8"/>
    </row>
    <row r="12" spans="2:11" x14ac:dyDescent="0.2">
      <c r="B12" s="1" t="s">
        <v>37</v>
      </c>
      <c r="C12" s="1" t="s">
        <v>39</v>
      </c>
      <c r="D12" s="1">
        <v>25000</v>
      </c>
      <c r="E12" s="1" t="str">
        <f t="shared" si="0"/>
        <v>ALTO</v>
      </c>
      <c r="G12" s="1" t="s">
        <v>48</v>
      </c>
      <c r="H12" s="1" t="s">
        <v>51</v>
      </c>
      <c r="I12" s="1" t="s">
        <v>52</v>
      </c>
      <c r="J12" s="1" t="s">
        <v>51</v>
      </c>
      <c r="K12" s="1" t="s">
        <v>52</v>
      </c>
    </row>
    <row r="13" spans="2:11" x14ac:dyDescent="0.2">
      <c r="B13" s="1" t="s">
        <v>37</v>
      </c>
      <c r="C13" s="1" t="s">
        <v>40</v>
      </c>
      <c r="D13" s="1">
        <v>12000</v>
      </c>
      <c r="E13" s="1" t="str">
        <f t="shared" si="0"/>
        <v>BAJO</v>
      </c>
      <c r="G13" s="1" t="s">
        <v>37</v>
      </c>
      <c r="H13" s="1">
        <v>4</v>
      </c>
      <c r="I13" s="1">
        <v>1</v>
      </c>
      <c r="J13" s="1">
        <v>1</v>
      </c>
      <c r="K13" s="1">
        <v>2</v>
      </c>
    </row>
    <row r="14" spans="2:11" x14ac:dyDescent="0.2">
      <c r="B14" s="7" t="s">
        <v>37</v>
      </c>
      <c r="C14" s="1" t="s">
        <v>40</v>
      </c>
      <c r="D14" s="1">
        <v>25000</v>
      </c>
      <c r="E14" s="1" t="str">
        <f t="shared" si="0"/>
        <v>ALTO</v>
      </c>
      <c r="G14" s="1" t="s">
        <v>38</v>
      </c>
      <c r="H14" s="1">
        <v>3</v>
      </c>
      <c r="I14" s="1">
        <v>1</v>
      </c>
      <c r="J14" s="1">
        <v>1</v>
      </c>
      <c r="K14" s="1">
        <v>5</v>
      </c>
    </row>
    <row r="15" spans="2:11" x14ac:dyDescent="0.2">
      <c r="B15" s="1" t="s">
        <v>38</v>
      </c>
      <c r="C15" s="1" t="s">
        <v>39</v>
      </c>
      <c r="D15" s="1">
        <v>18000</v>
      </c>
      <c r="E15" s="1" t="str">
        <f t="shared" si="0"/>
        <v>ALTO</v>
      </c>
    </row>
    <row r="16" spans="2:11" x14ac:dyDescent="0.2">
      <c r="B16" s="7" t="s">
        <v>37</v>
      </c>
      <c r="C16" s="1" t="s">
        <v>40</v>
      </c>
      <c r="D16" s="1">
        <v>10000</v>
      </c>
      <c r="E16" s="1" t="str">
        <f t="shared" si="0"/>
        <v>BAJO</v>
      </c>
    </row>
    <row r="17" spans="2:5" x14ac:dyDescent="0.2">
      <c r="B17" s="1" t="s">
        <v>38</v>
      </c>
      <c r="C17" s="1" t="s">
        <v>39</v>
      </c>
      <c r="D17" s="1">
        <v>12000</v>
      </c>
      <c r="E17" s="1" t="str">
        <f t="shared" si="0"/>
        <v>BAJO</v>
      </c>
    </row>
    <row r="18" spans="2:5" x14ac:dyDescent="0.2">
      <c r="B18" s="1" t="s">
        <v>38</v>
      </c>
      <c r="C18" s="1" t="s">
        <v>40</v>
      </c>
      <c r="D18" s="1">
        <v>14000</v>
      </c>
      <c r="E18" s="1" t="str">
        <f t="shared" si="0"/>
        <v>BAJO</v>
      </c>
    </row>
    <row r="19" spans="2:5" x14ac:dyDescent="0.2">
      <c r="B19" s="7" t="s">
        <v>37</v>
      </c>
      <c r="C19" s="1" t="s">
        <v>39</v>
      </c>
      <c r="D19" s="1">
        <v>21000</v>
      </c>
      <c r="E19" s="1" t="str">
        <f t="shared" si="0"/>
        <v>ALTO</v>
      </c>
    </row>
    <row r="20" spans="2:5" x14ac:dyDescent="0.2">
      <c r="B20" s="1" t="s">
        <v>38</v>
      </c>
      <c r="C20" s="1" t="s">
        <v>40</v>
      </c>
      <c r="D20" s="1">
        <v>16000</v>
      </c>
      <c r="E20" s="1" t="str">
        <f t="shared" si="0"/>
        <v>ALTO</v>
      </c>
    </row>
    <row r="21" spans="2:5" x14ac:dyDescent="0.2">
      <c r="B21" s="1" t="s">
        <v>38</v>
      </c>
      <c r="C21" s="1" t="s">
        <v>39</v>
      </c>
      <c r="D21" s="1">
        <v>32000</v>
      </c>
      <c r="E21" s="1" t="str">
        <f t="shared" si="0"/>
        <v>ALTO</v>
      </c>
    </row>
    <row r="22" spans="2:5" x14ac:dyDescent="0.2">
      <c r="B22" s="1" t="s">
        <v>38</v>
      </c>
      <c r="C22" s="1" t="s">
        <v>39</v>
      </c>
      <c r="D22" s="1">
        <v>28000</v>
      </c>
      <c r="E22" s="1" t="str">
        <f t="shared" si="0"/>
        <v>ALTO</v>
      </c>
    </row>
  </sheetData>
  <mergeCells count="5">
    <mergeCell ref="H9:K9"/>
    <mergeCell ref="H11:I11"/>
    <mergeCell ref="J11:K11"/>
    <mergeCell ref="H10:I10"/>
    <mergeCell ref="J10:K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cro2">
                <anchor moveWithCells="1" sizeWithCells="1">
                  <from>
                    <xdr:col>6</xdr:col>
                    <xdr:colOff>127000</xdr:colOff>
                    <xdr:row>15</xdr:row>
                    <xdr:rowOff>76200</xdr:rowOff>
                  </from>
                  <to>
                    <xdr:col>8</xdr:col>
                    <xdr:colOff>0</xdr:colOff>
                    <xdr:row>17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D8EB-0C57-0948-8A6B-03E148DF523B}">
  <dimension ref="C3:I20"/>
  <sheetViews>
    <sheetView tabSelected="1" zoomScale="150" workbookViewId="0">
      <selection activeCell="F15" sqref="F15"/>
    </sheetView>
  </sheetViews>
  <sheetFormatPr baseColWidth="10" defaultRowHeight="16" x14ac:dyDescent="0.2"/>
  <cols>
    <col min="3" max="3" width="10.83203125" style="1"/>
    <col min="4" max="4" width="14.33203125" style="1" customWidth="1"/>
    <col min="5" max="5" width="10.83203125" style="1"/>
    <col min="6" max="6" width="14.1640625" style="1" customWidth="1"/>
    <col min="7" max="8" width="17" style="1" customWidth="1"/>
    <col min="9" max="9" width="17.6640625" style="1" customWidth="1"/>
  </cols>
  <sheetData>
    <row r="3" spans="3:9" x14ac:dyDescent="0.2">
      <c r="C3" s="1" t="s">
        <v>53</v>
      </c>
    </row>
    <row r="4" spans="3:9" x14ac:dyDescent="0.2"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66</v>
      </c>
    </row>
    <row r="5" spans="3:9" x14ac:dyDescent="0.2">
      <c r="C5" s="1">
        <v>24</v>
      </c>
      <c r="D5" s="3">
        <v>15600</v>
      </c>
      <c r="E5" s="1" t="s">
        <v>60</v>
      </c>
      <c r="F5" s="1" t="s">
        <v>61</v>
      </c>
      <c r="G5" s="1" t="s">
        <v>62</v>
      </c>
      <c r="H5" s="3">
        <v>6000</v>
      </c>
      <c r="I5" s="3">
        <v>8000</v>
      </c>
    </row>
    <row r="6" spans="3:9" x14ac:dyDescent="0.2">
      <c r="C6" s="1">
        <v>32</v>
      </c>
      <c r="D6" s="3">
        <v>18900</v>
      </c>
      <c r="E6" s="1" t="s">
        <v>63</v>
      </c>
      <c r="F6" s="1" t="s">
        <v>64</v>
      </c>
      <c r="G6" s="1" t="s">
        <v>65</v>
      </c>
      <c r="H6" s="3">
        <v>2000</v>
      </c>
      <c r="I6" s="3">
        <v>1500</v>
      </c>
    </row>
    <row r="7" spans="3:9" x14ac:dyDescent="0.2">
      <c r="C7" s="1">
        <v>40</v>
      </c>
      <c r="D7" s="3">
        <v>22200</v>
      </c>
      <c r="E7" s="1" t="s">
        <v>60</v>
      </c>
      <c r="F7" s="1" t="s">
        <v>67</v>
      </c>
      <c r="G7" s="1" t="s">
        <v>62</v>
      </c>
      <c r="H7" s="3">
        <v>5000</v>
      </c>
      <c r="I7" s="3">
        <v>12000</v>
      </c>
    </row>
    <row r="8" spans="3:9" x14ac:dyDescent="0.2">
      <c r="C8" s="1">
        <v>48</v>
      </c>
      <c r="D8" s="3">
        <v>25500</v>
      </c>
      <c r="E8" s="1" t="s">
        <v>63</v>
      </c>
      <c r="F8" s="1" t="s">
        <v>61</v>
      </c>
      <c r="G8" s="1" t="s">
        <v>65</v>
      </c>
      <c r="H8" s="3">
        <v>3333.3333333333298</v>
      </c>
      <c r="I8" s="3">
        <v>11166.666666666701</v>
      </c>
    </row>
    <row r="9" spans="3:9" x14ac:dyDescent="0.2">
      <c r="C9" s="1">
        <v>56</v>
      </c>
      <c r="D9" s="3">
        <v>28800</v>
      </c>
      <c r="E9" s="1" t="s">
        <v>60</v>
      </c>
      <c r="F9" s="1" t="s">
        <v>67</v>
      </c>
      <c r="G9" s="1" t="s">
        <v>62</v>
      </c>
      <c r="H9" s="3">
        <v>2833.3333333333298</v>
      </c>
      <c r="I9" s="3">
        <v>13166.666666666701</v>
      </c>
    </row>
    <row r="10" spans="3:9" x14ac:dyDescent="0.2">
      <c r="C10" s="1">
        <v>64</v>
      </c>
      <c r="D10" s="3">
        <v>32100</v>
      </c>
      <c r="E10" s="1" t="s">
        <v>63</v>
      </c>
      <c r="F10" s="1" t="s">
        <v>61</v>
      </c>
      <c r="G10" s="1" t="s">
        <v>65</v>
      </c>
      <c r="H10" s="3">
        <v>2333.3333333333298</v>
      </c>
      <c r="I10" s="3">
        <v>15166.666666666701</v>
      </c>
    </row>
    <row r="11" spans="3:9" x14ac:dyDescent="0.2">
      <c r="C11" s="1">
        <v>72</v>
      </c>
      <c r="D11" s="3">
        <v>35400</v>
      </c>
      <c r="E11" s="1" t="s">
        <v>60</v>
      </c>
      <c r="F11" s="1" t="s">
        <v>64</v>
      </c>
      <c r="G11" s="1" t="s">
        <v>62</v>
      </c>
      <c r="H11" s="3">
        <v>1833.3333333333301</v>
      </c>
      <c r="I11" s="3">
        <v>17166.666666666701</v>
      </c>
    </row>
    <row r="12" spans="3:9" x14ac:dyDescent="0.2">
      <c r="C12" s="1">
        <v>80</v>
      </c>
      <c r="D12" s="3">
        <v>38700</v>
      </c>
      <c r="E12" s="1" t="s">
        <v>63</v>
      </c>
      <c r="F12" s="1" t="s">
        <v>67</v>
      </c>
      <c r="G12" s="1" t="s">
        <v>65</v>
      </c>
      <c r="H12" s="3">
        <v>1333.3333333333301</v>
      </c>
      <c r="I12" s="3">
        <v>19166.666666666701</v>
      </c>
    </row>
    <row r="15" spans="3:9" x14ac:dyDescent="0.2">
      <c r="D15" s="1" t="s">
        <v>68</v>
      </c>
      <c r="E15" s="1" t="s">
        <v>69</v>
      </c>
      <c r="H15" s="1" t="s">
        <v>70</v>
      </c>
      <c r="I15" s="1" t="s">
        <v>65</v>
      </c>
    </row>
    <row r="16" spans="3:9" x14ac:dyDescent="0.2">
      <c r="D16" s="9"/>
      <c r="E16" s="9"/>
      <c r="G16" s="1" t="s">
        <v>60</v>
      </c>
      <c r="H16" s="9"/>
      <c r="I16" s="9"/>
    </row>
    <row r="17" spans="4:9" x14ac:dyDescent="0.2">
      <c r="D17" s="9"/>
      <c r="E17" s="9"/>
      <c r="G17" s="1" t="s">
        <v>63</v>
      </c>
      <c r="H17" s="9"/>
      <c r="I17" s="9"/>
    </row>
    <row r="18" spans="4:9" x14ac:dyDescent="0.2">
      <c r="D18" s="9"/>
      <c r="E18" s="9"/>
    </row>
    <row r="19" spans="4:9" x14ac:dyDescent="0.2">
      <c r="D19" s="9"/>
      <c r="E19" s="9"/>
    </row>
    <row r="20" spans="4:9" x14ac:dyDescent="0.2">
      <c r="D20" s="9"/>
      <c r="E20" s="9"/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Repaso</vt:lpstr>
      <vt:lpstr>Acumulados</vt:lpstr>
      <vt:lpstr>Arreglo de Acumulados</vt:lpstr>
      <vt:lpstr>Matriz de Conteos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2026-07-20T21:10:02Z</dcterms:created>
  <dcterms:modified xsi:type="dcterms:W3CDTF">2026-07-21T01:01:44Z</dcterms:modified>
</cp:coreProperties>
</file>