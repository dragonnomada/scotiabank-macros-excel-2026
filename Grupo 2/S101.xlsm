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Grupo 2\"/>
    </mc:Choice>
  </mc:AlternateContent>
  <xr:revisionPtr revIDLastSave="0" documentId="13_ncr:1_{D146E343-F99B-46C8-9341-4C8604DB925D}" xr6:coauthVersionLast="47" xr6:coauthVersionMax="47" xr10:uidLastSave="{00000000-0000-0000-0000-000000000000}"/>
  <bookViews>
    <workbookView xWindow="-120" yWindow="-120" windowWidth="29040" windowHeight="15720" activeTab="5" xr2:uid="{8D69560A-0CDB-4CDE-92E2-BD5CD059A4C0}"/>
  </bookViews>
  <sheets>
    <sheet name="Direcciones" sheetId="1" r:id="rId1"/>
    <sheet name="Ejemplo 1" sheetId="2" r:id="rId2"/>
    <sheet name="Proyecciones" sheetId="3" r:id="rId3"/>
    <sheet name="Ejercicio 1" sheetId="4" r:id="rId4"/>
    <sheet name="Buscar" sheetId="5" r:id="rId5"/>
    <sheet name="Filtrar" sheetId="6" r:id="rId6"/>
  </sheet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32" i="6" l="1" a="1"/>
  <c r="C32" i="6" s="1"/>
  <c r="C29" i="6" a="1"/>
  <c r="C29" i="6" s="1"/>
  <c r="C21" i="6" a="1"/>
  <c r="C21" i="6" s="1"/>
  <c r="C18" i="6"/>
  <c r="C11" i="6" a="1"/>
  <c r="C11" i="6" s="1"/>
  <c r="I15" i="6" a="1"/>
  <c r="I15" i="6" s="1"/>
  <c r="C4" i="6" a="1"/>
  <c r="C4" i="6" s="1"/>
  <c r="C3" i="6" a="1"/>
  <c r="C3" i="6" s="1"/>
  <c r="C40" i="5"/>
  <c r="E38" i="5" s="1" a="1"/>
  <c r="E38" i="5" s="1"/>
  <c r="C41" i="5"/>
  <c r="C42" i="5"/>
  <c r="C43" i="5"/>
  <c r="C44" i="5"/>
  <c r="E37" i="5" a="1"/>
  <c r="E37" i="5" s="1"/>
  <c r="B40" i="5" a="1"/>
  <c r="B40" i="5" s="1"/>
  <c r="F30" i="5" a="1"/>
  <c r="F30" i="5" s="1"/>
  <c r="E30" i="5" a="1"/>
  <c r="E30" i="5" s="1"/>
  <c r="D30" i="5" a="1"/>
  <c r="D30" i="5" s="1"/>
  <c r="C30" i="5" a="1"/>
  <c r="C30" i="5" s="1"/>
  <c r="B30" i="5" a="1"/>
  <c r="B30" i="5" s="1"/>
  <c r="C23" i="5"/>
  <c r="D23" i="5" s="1"/>
  <c r="C24" i="5"/>
  <c r="C22" i="5"/>
  <c r="C21" i="5"/>
  <c r="C20" i="5"/>
  <c r="B20" i="5" a="1"/>
  <c r="B20" i="5" s="1"/>
  <c r="B2" i="5" a="1"/>
  <c r="B2" i="5" s="1"/>
  <c r="B3" i="5" a="1"/>
  <c r="B3" i="5" s="1"/>
  <c r="B3" i="4" a="1"/>
  <c r="B3" i="4" s="1"/>
  <c r="B26" i="3" a="1"/>
  <c r="B26" i="3" s="1"/>
  <c r="B21" i="3" a="1"/>
  <c r="B21" i="3" s="1"/>
  <c r="B17" i="3" a="1"/>
  <c r="B17" i="3" s="1"/>
  <c r="B14" i="3" a="1"/>
  <c r="B14" i="3" s="1"/>
  <c r="B10" i="3" a="1"/>
  <c r="B10" i="3" s="1"/>
  <c r="B8" i="3" a="1"/>
  <c r="B8" i="3" s="1"/>
  <c r="J11" i="3"/>
  <c r="K3" i="3"/>
  <c r="B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tc={19DAA91C-2AC7-4430-AEC6-6C638E255E5C}</author>
  </authors>
  <commentList>
    <comment ref="B5" authorId="0" shapeId="0" xr:uid="{19DAA91C-2AC7-4430-AEC6-6C638E255E5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El número de prueba para el valor de una celda
Respuesta:
    Otro comentario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<sst xmlns="http://schemas.openxmlformats.org/spreadsheetml/2006/main" count="173" uniqueCount="122">
  <si>
    <t>Celda</t>
  </si>
  <si>
    <t>Dirección</t>
  </si>
  <si>
    <t>Valor</t>
  </si>
  <si>
    <t>Formato</t>
  </si>
  <si>
    <t>Estilo</t>
  </si>
  <si>
    <t>Comentarios</t>
  </si>
  <si>
    <t>B5</t>
  </si>
  <si>
    <t>Columna + Fila</t>
  </si>
  <si>
    <t>"123"</t>
  </si>
  <si>
    <t>General</t>
  </si>
  <si>
    <t>Todo es texto / número / fecha / porcentaje / VERDADERO|FALSO</t>
  </si>
  <si>
    <t>Color de fondo, Color de fuente, Tamaño de fuente, Negritas, Itálica</t>
  </si>
  <si>
    <t>texto</t>
  </si>
  <si>
    <t>Los comentarios ayudan a entender la evolución del valor de una celda y coloborar</t>
  </si>
  <si>
    <t>2 comentarios</t>
  </si>
  <si>
    <t>Rango</t>
  </si>
  <si>
    <t>Dirección inicial</t>
  </si>
  <si>
    <t>Dirección final</t>
  </si>
  <si>
    <t>C12</t>
  </si>
  <si>
    <t>La dirección compuesta con el formato doble / dual</t>
  </si>
  <si>
    <t>La primera celda o esquina superior izquierda</t>
  </si>
  <si>
    <t>La última celda o esquina inferior derecha</t>
  </si>
  <si>
    <t>A10</t>
  </si>
  <si>
    <t>A10:C12</t>
  </si>
  <si>
    <t>Catálogo de unidades del producto</t>
  </si>
  <si>
    <t>Clave</t>
  </si>
  <si>
    <t>Nombre</t>
  </si>
  <si>
    <t>Cantidad</t>
  </si>
  <si>
    <t>Unidad</t>
  </si>
  <si>
    <t>Indice</t>
  </si>
  <si>
    <t>A</t>
  </si>
  <si>
    <t>B</t>
  </si>
  <si>
    <t>C</t>
  </si>
  <si>
    <t>X</t>
  </si>
  <si>
    <t>Y</t>
  </si>
  <si>
    <t>Tijeras R14</t>
  </si>
  <si>
    <t>Lápiz 2HB</t>
  </si>
  <si>
    <t>Lapicero Fino Azul</t>
  </si>
  <si>
    <t>Hoja Blanca Bond 30mg</t>
  </si>
  <si>
    <t>Borrador Redondo 5GX</t>
  </si>
  <si>
    <t>Pieza</t>
  </si>
  <si>
    <t>Paquete de 12 piezas</t>
  </si>
  <si>
    <t>Caja con 100 piezas</t>
  </si>
  <si>
    <t>Paquete de 500 unidades</t>
  </si>
  <si>
    <t>Del lápiz 2HB la cantidad</t>
  </si>
  <si>
    <t>F8</t>
  </si>
  <si>
    <t>Dirección por celda</t>
  </si>
  <si>
    <t>Del producto de clave X el nombre</t>
  </si>
  <si>
    <t>E10</t>
  </si>
  <si>
    <t>De los que son tipos paquetes los índices</t>
  </si>
  <si>
    <t>C8</t>
  </si>
  <si>
    <t>C10</t>
  </si>
  <si>
    <t>Dirección por rango</t>
  </si>
  <si>
    <t>El rango de claves de la A a la X</t>
  </si>
  <si>
    <t>D7:D10</t>
  </si>
  <si>
    <t>Columna Vertical</t>
  </si>
  <si>
    <t>El rango del registro asociado a la clave B</t>
  </si>
  <si>
    <t>C8:G8</t>
  </si>
  <si>
    <t>Columna horizontal / Registro / Fila Acotada</t>
  </si>
  <si>
    <t>El rango de todos los registros</t>
  </si>
  <si>
    <t>C7:G11</t>
  </si>
  <si>
    <t>Matriz</t>
  </si>
  <si>
    <t>$D</t>
  </si>
  <si>
    <t>$8</t>
  </si>
  <si>
    <t>C…G</t>
  </si>
  <si>
    <t>7…11</t>
  </si>
  <si>
    <t>De la matriz C7:G11 el rango de los primero 3 valores de la cuarta columna</t>
  </si>
  <si>
    <t>F7:F9</t>
  </si>
  <si>
    <t>Rango enfocado de otro rango</t>
  </si>
  <si>
    <t>Proyección o referencia a la celda</t>
  </si>
  <si>
    <t>Hola mundo</t>
  </si>
  <si>
    <t>Texto</t>
  </si>
  <si>
    <t>Fórmula</t>
  </si>
  <si>
    <t>=</t>
  </si>
  <si>
    <t>2+2</t>
  </si>
  <si>
    <t>Celda cálcula</t>
  </si>
  <si>
    <t>Determina el valor que tendrá celda cuándo se evalúe la fórmula</t>
  </si>
  <si>
    <t>Un valor obsoleto muestra una especie</t>
  </si>
  <si>
    <t>de advertencia que indica que la fórmula</t>
  </si>
  <si>
    <t>no ha sido actualiza, y por lo tanto el</t>
  </si>
  <si>
    <t>valor se encuentra obsoleto</t>
  </si>
  <si>
    <t>(podría haber cambiado)</t>
  </si>
  <si>
    <t>Si no está habilitado el cálculo automático tendremos que hacerlo manual</t>
  </si>
  <si>
    <t>Fórmulas / Calcular ahora</t>
  </si>
  <si>
    <t>Valor estorba</t>
  </si>
  <si>
    <t>Las proyecciones requieren el suficiente espacio libre para no desbordarse</t>
  </si>
  <si>
    <t>'Ejemplo 1'!C7:G11</t>
  </si>
  <si>
    <t>Ejercicio 1</t>
  </si>
  <si>
    <t>1. Obtener la proyección de las cabeceras / títulos del catálogo</t>
  </si>
  <si>
    <t>2. Proyectar la columna de claves y la columna de cantidades</t>
  </si>
  <si>
    <t>3. Proyectar los primeros 3 registros</t>
  </si>
  <si>
    <t>4. Proyectar los últimos 3 registros</t>
  </si>
  <si>
    <t>5. Proyectar la clave, nombre y cantidad para los productos asociados a los índices del 2 al 4</t>
  </si>
  <si>
    <t>En la hoja Ejemplo 1…</t>
  </si>
  <si>
    <t>Retos</t>
  </si>
  <si>
    <t>1. Transponer las cabeceras</t>
  </si>
  <si>
    <t>2. Poner los valores transpuestos del primer registro</t>
  </si>
  <si>
    <t>Ejemplo:</t>
  </si>
  <si>
    <t>(Fórmula TRANSPONER)</t>
  </si>
  <si>
    <t>BUSCAR</t>
  </si>
  <si>
    <t>Ubica el último resultado inferior más próximo al valor buscado</t>
  </si>
  <si>
    <t>de la posición en la columna de búsqueda sobre la columna de resultados</t>
  </si>
  <si>
    <t>BUSCAR("X", C3:C7, E3:E7)</t>
  </si>
  <si>
    <t>* Busca X en la columna de búsqueda C3:C7 y devuelve la posición encontrada en la columna de resultados E3:E7</t>
  </si>
  <si>
    <t>% Cantidad</t>
  </si>
  <si>
    <t>y</t>
  </si>
  <si>
    <t>BUSCAR VERTICAL</t>
  </si>
  <si>
    <t>Ubica el valor próximo o exacto sobre una matriz donde supone la primera columna la de búsqueda</t>
  </si>
  <si>
    <t>Índice</t>
  </si>
  <si>
    <t>BUSCARV("X"; B30:F34; 4; FALSO)</t>
  </si>
  <si>
    <t>BUSCAR HORIZONTAL</t>
  </si>
  <si>
    <t>Es igual a BUSCAR VERTICAL, pero supone una matriz al revés donde la primer fila sea la búsqueda y se especifique la fila proyectada en lugar de la columna</t>
  </si>
  <si>
    <t>MÁSCARA / COLUMNA LÓGICA</t>
  </si>
  <si>
    <t>F4:F8&lt;100</t>
  </si>
  <si>
    <t>INDICE</t>
  </si>
  <si>
    <t>Valor asociado a un índice / coordenada numérica</t>
  </si>
  <si>
    <t>INDICE(C4:G8;4;3)</t>
  </si>
  <si>
    <t>INDICE(C4:G8;0;3)</t>
  </si>
  <si>
    <t>INDICE(C4:G8;4;0)</t>
  </si>
  <si>
    <t>Toda la columna 3 de la matriz</t>
  </si>
  <si>
    <t>Toda la fila 4 de la matriz</t>
  </si>
  <si>
    <t>INDICE(FILTRAR(C4:G8; F4:F8&lt;100);0;2)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</si>
</sst>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0" borderId="2" applyNumberFormat="0" applyFill="0" applyAlignment="0" applyProtection="0"/>
    <xf numFmtId="0" fontId="1" fillId="7" borderId="3" applyNumberFormat="0" applyFont="0" applyAlignment="0" applyProtection="0"/>
  </cellStyleXfs>
  <cellXfs count="58">
    <xf numFmtId="0" fontId="0" fillId="0" borderId="0" xfId="0"/>
    <xf numFmtId="0" fontId="8" fillId="0" borderId="0" xfId="0" applyFont="1"/>
    <xf numFmtId="0" fontId="0" fillId="8" borderId="0" xfId="0" applyFill="1"/>
    <xf numFmtId="0" fontId="8" fillId="8" borderId="0" xfId="0" applyFont="1" applyFill="1" applyAlignment="1">
      <alignment horizontal="center"/>
    </xf>
    <xf numFmtId="0" fontId="2" fillId="2" borderId="0" xfId="2"/>
    <xf numFmtId="0" fontId="3" fillId="3" borderId="0" xfId="3"/>
    <xf numFmtId="0" fontId="2" fillId="2" borderId="4" xfId="2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3" borderId="11" xfId="3" applyBorder="1"/>
    <xf numFmtId="0" fontId="0" fillId="0" borderId="0" xfId="0" applyAlignment="1">
      <alignment horizontal="center"/>
    </xf>
    <xf numFmtId="0" fontId="4" fillId="4" borderId="0" xfId="4" applyAlignment="1">
      <alignment horizontal="center"/>
    </xf>
    <xf numFmtId="0" fontId="0" fillId="9" borderId="12" xfId="0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7" borderId="3" xfId="8" applyFont="1" applyAlignment="1">
      <alignment horizontal="center"/>
    </xf>
    <xf numFmtId="0" fontId="0" fillId="7" borderId="21" xfId="8" applyFont="1" applyBorder="1" applyAlignment="1">
      <alignment horizontal="center"/>
    </xf>
    <xf numFmtId="0" fontId="0" fillId="7" borderId="22" xfId="8" applyFont="1" applyBorder="1" applyAlignment="1">
      <alignment horizontal="center"/>
    </xf>
    <xf numFmtId="0" fontId="0" fillId="7" borderId="23" xfId="8" applyFont="1" applyBorder="1" applyAlignment="1">
      <alignment horizontal="center"/>
    </xf>
    <xf numFmtId="0" fontId="0" fillId="0" borderId="0" xfId="0" applyAlignment="1">
      <alignment horizontal="left" wrapText="1"/>
    </xf>
    <xf numFmtId="0" fontId="0" fillId="10" borderId="0" xfId="0" applyFill="1"/>
    <xf numFmtId="0" fontId="0" fillId="11" borderId="0" xfId="0" applyFill="1"/>
    <xf numFmtId="0" fontId="6" fillId="6" borderId="1" xfId="6" applyAlignment="1">
      <alignment horizontal="center" vertical="center" wrapText="1"/>
    </xf>
    <xf numFmtId="0" fontId="0" fillId="7" borderId="24" xfId="8" applyFont="1" applyBorder="1" applyAlignment="1">
      <alignment horizontal="left"/>
    </xf>
    <xf numFmtId="0" fontId="0" fillId="7" borderId="25" xfId="8" applyFont="1" applyBorder="1" applyAlignment="1">
      <alignment horizontal="left"/>
    </xf>
    <xf numFmtId="0" fontId="0" fillId="7" borderId="26" xfId="8" applyFont="1" applyBorder="1" applyAlignment="1">
      <alignment horizontal="left"/>
    </xf>
    <xf numFmtId="0" fontId="4" fillId="4" borderId="0" xfId="4"/>
    <xf numFmtId="0" fontId="0" fillId="12" borderId="0" xfId="0" applyFill="1"/>
    <xf numFmtId="0" fontId="5" fillId="5" borderId="1" xfId="5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left"/>
    </xf>
    <xf numFmtId="0" fontId="0" fillId="9" borderId="12" xfId="0" applyFill="1" applyBorder="1"/>
    <xf numFmtId="0" fontId="0" fillId="10" borderId="0" xfId="0" applyFill="1" applyAlignment="1">
      <alignment horizontal="center"/>
    </xf>
    <xf numFmtId="0" fontId="0" fillId="0" borderId="0" xfId="0" applyAlignment="1">
      <alignment horizontal="right"/>
    </xf>
    <xf numFmtId="0" fontId="7" fillId="0" borderId="2" xfId="7" applyAlignment="1">
      <alignment horizontal="left"/>
    </xf>
    <xf numFmtId="0" fontId="0" fillId="8" borderId="0" xfId="0" applyFill="1" applyAlignment="1">
      <alignment horizontal="center"/>
    </xf>
    <xf numFmtId="9" fontId="0" fillId="0" borderId="0" xfId="1" applyFont="1" applyAlignment="1">
      <alignment horizontal="center"/>
    </xf>
    <xf numFmtId="0" fontId="0" fillId="13" borderId="0" xfId="0" applyFill="1"/>
    <xf numFmtId="0" fontId="0" fillId="9" borderId="0" xfId="0" applyFill="1"/>
    <xf numFmtId="0" fontId="0" fillId="10" borderId="13" xfId="0" applyFill="1" applyBorder="1"/>
    <xf numFmtId="0" fontId="0" fillId="10" borderId="16" xfId="0" applyFill="1" applyBorder="1"/>
    <xf numFmtId="0" fontId="0" fillId="10" borderId="18" xfId="0" applyFill="1" applyBorder="1"/>
    <xf numFmtId="0" fontId="0" fillId="14" borderId="0" xfId="0" applyFill="1"/>
    <xf numFmtId="0" fontId="0" fillId="14" borderId="0" xfId="0" applyFill="1" applyAlignment="1">
      <alignment horizontal="right"/>
    </xf>
    <xf numFmtId="0" fontId="0" fillId="14" borderId="19" xfId="0" applyFill="1" applyBorder="1"/>
    <xf numFmtId="0" fontId="0" fillId="14" borderId="20" xfId="0" applyFill="1" applyBorder="1"/>
    <xf numFmtId="0" fontId="0" fillId="0" borderId="0" xfId="0" applyFont="1"/>
  </cellXfs>
  <cellStyles count="9">
    <cellStyle name="Bueno" xfId="2" builtinId="26"/>
    <cellStyle name="Cálculo" xfId="6" builtinId="22"/>
    <cellStyle name="Celda vinculada" xfId="7" builtinId="24"/>
    <cellStyle name="Entrada" xfId="5" builtinId="20"/>
    <cellStyle name="Incorrecto" xfId="3" builtinId="27"/>
    <cellStyle name="Neutral" xfId="4" builtinId="28"/>
    <cellStyle name="Normal" xfId="0" builtinId="0"/>
    <cellStyle name="Notas" xfId="8" builtinId="1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lan Badillo Salas" id="{229403F8-220D-4840-BE93-F89DC150EDEA}" userId="3ead0e91d105fa46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8</v>
    <v>2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6-07-06T23:23:11.11" personId="{229403F8-220D-4840-BE93-F89DC150EDEA}" id="{19DAA91C-2AC7-4430-AEC6-6C638E255E5C}">
    <text>El número de prueba para el valor de una celda</text>
  </threadedComment>
  <threadedComment ref="B5" dT="2026-07-06T23:23:18.45" personId="{229403F8-220D-4840-BE93-F89DC150EDEA}" id="{63DBF249-8FBE-48F1-8860-217A05062255}" parentId="{19DAA91C-2AC7-4430-AEC6-6C638E255E5C}">
    <text>Otro comentario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991D6-B53D-4B0D-92BB-DFC23B9A7C46}">
  <dimension ref="A2:G12"/>
  <sheetViews>
    <sheetView zoomScale="190" zoomScaleNormal="190" workbookViewId="0">
      <selection activeCell="D16" sqref="D16"/>
    </sheetView>
  </sheetViews>
  <sheetFormatPr baseColWidth="10" defaultRowHeight="15" x14ac:dyDescent="0.25"/>
  <cols>
    <col min="4" max="4" width="15.28515625" customWidth="1"/>
    <col min="5" max="5" width="14.7109375" customWidth="1"/>
  </cols>
  <sheetData>
    <row r="2" spans="1:7" x14ac:dyDescent="0.25">
      <c r="B2" t="s">
        <v>0</v>
      </c>
      <c r="D2" t="s">
        <v>1</v>
      </c>
      <c r="E2" t="s">
        <v>6</v>
      </c>
      <c r="G2" t="s">
        <v>7</v>
      </c>
    </row>
    <row r="3" spans="1:7" x14ac:dyDescent="0.25">
      <c r="D3" t="s">
        <v>2</v>
      </c>
      <c r="E3" t="s">
        <v>8</v>
      </c>
    </row>
    <row r="4" spans="1:7" x14ac:dyDescent="0.25">
      <c r="D4" t="s">
        <v>3</v>
      </c>
      <c r="E4" t="s">
        <v>9</v>
      </c>
      <c r="G4" t="s">
        <v>10</v>
      </c>
    </row>
    <row r="5" spans="1:7" x14ac:dyDescent="0.25">
      <c r="B5" s="3">
        <v>123</v>
      </c>
      <c r="D5" t="s">
        <v>4</v>
      </c>
      <c r="E5" s="3" t="s">
        <v>12</v>
      </c>
      <c r="G5" t="s">
        <v>11</v>
      </c>
    </row>
    <row r="6" spans="1:7" x14ac:dyDescent="0.25">
      <c r="D6" t="s">
        <v>5</v>
      </c>
      <c r="E6" t="s">
        <v>14</v>
      </c>
      <c r="G6" t="s">
        <v>13</v>
      </c>
    </row>
    <row r="8" spans="1:7" x14ac:dyDescent="0.25">
      <c r="B8" t="s">
        <v>15</v>
      </c>
      <c r="D8" t="s">
        <v>16</v>
      </c>
      <c r="E8" s="4" t="s">
        <v>22</v>
      </c>
      <c r="G8" t="s">
        <v>20</v>
      </c>
    </row>
    <row r="9" spans="1:7" ht="15.75" thickBot="1" x14ac:dyDescent="0.3">
      <c r="D9" t="s">
        <v>17</v>
      </c>
      <c r="E9" s="5" t="s">
        <v>18</v>
      </c>
      <c r="G9" t="s">
        <v>21</v>
      </c>
    </row>
    <row r="10" spans="1:7" x14ac:dyDescent="0.25">
      <c r="A10" s="6">
        <v>1</v>
      </c>
      <c r="B10" s="7">
        <v>2</v>
      </c>
      <c r="C10" s="8">
        <v>3</v>
      </c>
      <c r="D10" t="s">
        <v>1</v>
      </c>
      <c r="E10" t="s">
        <v>23</v>
      </c>
      <c r="G10" t="s">
        <v>19</v>
      </c>
    </row>
    <row r="11" spans="1:7" x14ac:dyDescent="0.25">
      <c r="A11" s="9">
        <v>4</v>
      </c>
      <c r="B11" s="10">
        <v>5</v>
      </c>
      <c r="C11" s="11">
        <v>6</v>
      </c>
    </row>
    <row r="12" spans="1:7" ht="15.75" thickBot="1" x14ac:dyDescent="0.3">
      <c r="A12" s="12">
        <v>7</v>
      </c>
      <c r="B12" s="13">
        <v>8</v>
      </c>
      <c r="C12" s="14">
        <v>9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E5F55-A27F-42A9-AB88-7F7EAAAE2AC0}">
  <dimension ref="C4:J26"/>
  <sheetViews>
    <sheetView zoomScale="130" zoomScaleNormal="130" workbookViewId="0">
      <selection activeCell="C6" sqref="C6:G11"/>
    </sheetView>
  </sheetViews>
  <sheetFormatPr baseColWidth="10" defaultRowHeight="15" x14ac:dyDescent="0.25"/>
  <cols>
    <col min="5" max="5" width="23.28515625" customWidth="1"/>
    <col min="7" max="7" width="23.28515625" customWidth="1"/>
  </cols>
  <sheetData>
    <row r="4" spans="3:10" x14ac:dyDescent="0.25">
      <c r="C4" s="16" t="s">
        <v>24</v>
      </c>
      <c r="D4" s="16"/>
      <c r="E4" s="16"/>
      <c r="F4" s="16"/>
      <c r="G4" s="16"/>
    </row>
    <row r="6" spans="3:10" x14ac:dyDescent="0.25">
      <c r="C6" s="17" t="s">
        <v>29</v>
      </c>
      <c r="D6" s="17" t="s">
        <v>25</v>
      </c>
      <c r="E6" s="17" t="s">
        <v>26</v>
      </c>
      <c r="F6" s="17" t="s">
        <v>27</v>
      </c>
      <c r="G6" s="17" t="s">
        <v>28</v>
      </c>
      <c r="H6" s="21"/>
      <c r="I6" s="10"/>
      <c r="J6" s="10"/>
    </row>
    <row r="7" spans="3:10" x14ac:dyDescent="0.25">
      <c r="C7" s="18">
        <v>1</v>
      </c>
      <c r="D7" s="19" t="s">
        <v>30</v>
      </c>
      <c r="E7" s="19" t="s">
        <v>35</v>
      </c>
      <c r="F7" s="19">
        <v>500</v>
      </c>
      <c r="G7" s="20" t="s">
        <v>40</v>
      </c>
      <c r="H7" s="21"/>
      <c r="I7" s="10"/>
      <c r="J7" s="10"/>
    </row>
    <row r="8" spans="3:10" x14ac:dyDescent="0.25">
      <c r="C8" s="21">
        <v>2</v>
      </c>
      <c r="D8" s="10" t="s">
        <v>31</v>
      </c>
      <c r="E8" s="10" t="s">
        <v>36</v>
      </c>
      <c r="F8" s="10">
        <v>345</v>
      </c>
      <c r="G8" s="22" t="s">
        <v>41</v>
      </c>
      <c r="H8" s="21"/>
      <c r="I8" s="10"/>
      <c r="J8" s="10"/>
    </row>
    <row r="9" spans="3:10" x14ac:dyDescent="0.25">
      <c r="C9" s="21">
        <v>3</v>
      </c>
      <c r="D9" s="10" t="s">
        <v>32</v>
      </c>
      <c r="E9" s="10" t="s">
        <v>37</v>
      </c>
      <c r="F9" s="10">
        <v>12</v>
      </c>
      <c r="G9" s="22" t="s">
        <v>42</v>
      </c>
    </row>
    <row r="10" spans="3:10" x14ac:dyDescent="0.25">
      <c r="C10" s="21">
        <v>4</v>
      </c>
      <c r="D10" s="10" t="s">
        <v>33</v>
      </c>
      <c r="E10" s="10" t="s">
        <v>38</v>
      </c>
      <c r="F10" s="10">
        <v>23</v>
      </c>
      <c r="G10" s="22" t="s">
        <v>43</v>
      </c>
    </row>
    <row r="11" spans="3:10" x14ac:dyDescent="0.25">
      <c r="C11" s="23">
        <v>5</v>
      </c>
      <c r="D11" s="24" t="s">
        <v>34</v>
      </c>
      <c r="E11" s="24" t="s">
        <v>39</v>
      </c>
      <c r="F11" s="24">
        <v>55</v>
      </c>
      <c r="G11" s="25" t="s">
        <v>28</v>
      </c>
    </row>
    <row r="13" spans="3:10" x14ac:dyDescent="0.25">
      <c r="C13" s="26" t="s">
        <v>46</v>
      </c>
      <c r="D13" s="26"/>
      <c r="E13" s="26"/>
    </row>
    <row r="14" spans="3:10" x14ac:dyDescent="0.25">
      <c r="F14" t="s">
        <v>1</v>
      </c>
    </row>
    <row r="15" spans="3:10" x14ac:dyDescent="0.25">
      <c r="C15" t="s">
        <v>44</v>
      </c>
      <c r="F15" t="s">
        <v>45</v>
      </c>
    </row>
    <row r="16" spans="3:10" x14ac:dyDescent="0.25">
      <c r="C16" t="s">
        <v>47</v>
      </c>
      <c r="F16" t="s">
        <v>48</v>
      </c>
    </row>
    <row r="17" spans="3:10" x14ac:dyDescent="0.25">
      <c r="C17" t="s">
        <v>49</v>
      </c>
      <c r="F17" t="s">
        <v>50</v>
      </c>
      <c r="G17" t="s">
        <v>51</v>
      </c>
    </row>
    <row r="19" spans="3:10" x14ac:dyDescent="0.25">
      <c r="C19" s="27" t="s">
        <v>52</v>
      </c>
      <c r="D19" s="28"/>
      <c r="E19" s="29"/>
    </row>
    <row r="21" spans="3:10" x14ac:dyDescent="0.25">
      <c r="C21" t="s">
        <v>53</v>
      </c>
      <c r="F21" t="s">
        <v>54</v>
      </c>
      <c r="G21" t="s">
        <v>55</v>
      </c>
      <c r="J21" t="s">
        <v>62</v>
      </c>
    </row>
    <row r="22" spans="3:10" x14ac:dyDescent="0.25">
      <c r="C22" t="s">
        <v>56</v>
      </c>
      <c r="F22" t="s">
        <v>57</v>
      </c>
      <c r="G22" t="s">
        <v>58</v>
      </c>
      <c r="J22" t="s">
        <v>63</v>
      </c>
    </row>
    <row r="23" spans="3:10" x14ac:dyDescent="0.25">
      <c r="C23" t="s">
        <v>59</v>
      </c>
      <c r="F23" t="s">
        <v>60</v>
      </c>
      <c r="G23" t="s">
        <v>61</v>
      </c>
      <c r="J23" t="s">
        <v>64</v>
      </c>
    </row>
    <row r="24" spans="3:10" x14ac:dyDescent="0.25">
      <c r="J24" t="s">
        <v>65</v>
      </c>
    </row>
    <row r="25" spans="3:10" x14ac:dyDescent="0.25">
      <c r="C25" s="30" t="s">
        <v>66</v>
      </c>
      <c r="D25" s="30"/>
      <c r="E25" s="30"/>
    </row>
    <row r="26" spans="3:10" x14ac:dyDescent="0.25">
      <c r="C26" s="30"/>
      <c r="D26" s="30"/>
      <c r="E26" s="30"/>
      <c r="F26" t="s">
        <v>67</v>
      </c>
      <c r="G26" t="s">
        <v>68</v>
      </c>
    </row>
  </sheetData>
  <mergeCells count="4">
    <mergeCell ref="C4:G4"/>
    <mergeCell ref="C13:E13"/>
    <mergeCell ref="C19:E19"/>
    <mergeCell ref="C25:E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00661-2C75-497A-A53D-4D3E4F330957}">
  <dimension ref="B2:N32"/>
  <sheetViews>
    <sheetView topLeftCell="A16" zoomScale="175" zoomScaleNormal="175" workbookViewId="0">
      <selection activeCell="B26" sqref="B26:F32"/>
    </sheetView>
  </sheetViews>
  <sheetFormatPr baseColWidth="10" defaultRowHeight="15" x14ac:dyDescent="0.25"/>
  <cols>
    <col min="2" max="2" width="19.85546875" customWidth="1"/>
    <col min="3" max="3" width="10.140625" customWidth="1"/>
    <col min="6" max="6" width="23.28515625" customWidth="1"/>
  </cols>
  <sheetData>
    <row r="2" spans="2:14" x14ac:dyDescent="0.25">
      <c r="H2" t="s">
        <v>0</v>
      </c>
      <c r="J2" t="s">
        <v>71</v>
      </c>
      <c r="K2" t="s">
        <v>72</v>
      </c>
    </row>
    <row r="3" spans="2:14" x14ac:dyDescent="0.25">
      <c r="B3" s="31" t="s">
        <v>70</v>
      </c>
      <c r="J3" t="s">
        <v>74</v>
      </c>
      <c r="K3">
        <f>2+2</f>
        <v>4</v>
      </c>
      <c r="L3" s="1" t="s">
        <v>73</v>
      </c>
      <c r="M3" s="1" t="s">
        <v>74</v>
      </c>
    </row>
    <row r="5" spans="2:14" x14ac:dyDescent="0.25">
      <c r="K5" s="34" t="s">
        <v>75</v>
      </c>
      <c r="L5" s="35"/>
      <c r="M5" s="35"/>
      <c r="N5" s="36"/>
    </row>
    <row r="6" spans="2:14" x14ac:dyDescent="0.25">
      <c r="B6" s="32" t="str">
        <f>B3</f>
        <v>Hola mundo</v>
      </c>
      <c r="D6" t="s">
        <v>69</v>
      </c>
      <c r="L6" s="33" t="s">
        <v>76</v>
      </c>
      <c r="M6" s="33"/>
      <c r="N6" s="33"/>
    </row>
    <row r="7" spans="2:14" x14ac:dyDescent="0.25">
      <c r="L7" s="33"/>
      <c r="M7" s="33"/>
      <c r="N7" s="33"/>
    </row>
    <row r="8" spans="2:14" x14ac:dyDescent="0.25">
      <c r="B8" s="38" cm="1">
        <f t="array" ref="B8:D8">F8:H8</f>
        <v>1</v>
      </c>
      <c r="C8" s="38">
        <v>2</v>
      </c>
      <c r="D8" s="38">
        <v>3</v>
      </c>
      <c r="F8">
        <v>1</v>
      </c>
      <c r="G8">
        <v>2</v>
      </c>
      <c r="H8">
        <v>3</v>
      </c>
      <c r="L8" s="33"/>
      <c r="M8" s="33"/>
      <c r="N8" s="33"/>
    </row>
    <row r="9" spans="2:14" x14ac:dyDescent="0.25">
      <c r="F9">
        <v>4</v>
      </c>
      <c r="G9">
        <v>5</v>
      </c>
      <c r="H9">
        <v>6</v>
      </c>
    </row>
    <row r="10" spans="2:14" x14ac:dyDescent="0.25">
      <c r="B10" s="38" cm="1">
        <f t="array" ref="B10:B12">F8:F10</f>
        <v>1</v>
      </c>
      <c r="F10">
        <v>7</v>
      </c>
      <c r="G10">
        <v>8</v>
      </c>
      <c r="H10">
        <v>9</v>
      </c>
    </row>
    <row r="11" spans="2:14" x14ac:dyDescent="0.25">
      <c r="B11" s="38">
        <v>4</v>
      </c>
      <c r="J11">
        <f>100 * 100 + 1</f>
        <v>10001</v>
      </c>
      <c r="L11" t="s">
        <v>77</v>
      </c>
    </row>
    <row r="12" spans="2:14" x14ac:dyDescent="0.25">
      <c r="B12" s="38">
        <v>7</v>
      </c>
      <c r="L12" t="s">
        <v>78</v>
      </c>
    </row>
    <row r="13" spans="2:14" x14ac:dyDescent="0.25">
      <c r="L13" t="s">
        <v>79</v>
      </c>
    </row>
    <row r="14" spans="2:14" x14ac:dyDescent="0.25">
      <c r="B14" s="38" cm="1">
        <f t="array" ref="B14:C15">G9:H10</f>
        <v>5</v>
      </c>
      <c r="C14" s="38">
        <v>6</v>
      </c>
      <c r="L14" t="s">
        <v>80</v>
      </c>
    </row>
    <row r="15" spans="2:14" x14ac:dyDescent="0.25">
      <c r="B15" s="38">
        <v>8</v>
      </c>
      <c r="C15" s="38">
        <v>9</v>
      </c>
      <c r="L15" t="s">
        <v>81</v>
      </c>
    </row>
    <row r="17" spans="2:10" x14ac:dyDescent="0.25">
      <c r="B17" s="37" cm="1">
        <f t="array" ref="B17:D19">F8:H10</f>
        <v>1</v>
      </c>
      <c r="C17" s="38">
        <v>2</v>
      </c>
      <c r="D17" s="38">
        <v>3</v>
      </c>
      <c r="I17" t="s">
        <v>82</v>
      </c>
    </row>
    <row r="18" spans="2:10" x14ac:dyDescent="0.25">
      <c r="B18" s="38">
        <v>4</v>
      </c>
      <c r="C18" s="38">
        <v>5</v>
      </c>
      <c r="D18" s="38">
        <v>6</v>
      </c>
      <c r="I18" s="37" t="s">
        <v>83</v>
      </c>
      <c r="J18" s="37"/>
    </row>
    <row r="19" spans="2:10" x14ac:dyDescent="0.25">
      <c r="B19" s="38">
        <v>7</v>
      </c>
      <c r="C19" s="38">
        <v>8</v>
      </c>
      <c r="D19" s="38">
        <v>9</v>
      </c>
    </row>
    <row r="21" spans="2:10" x14ac:dyDescent="0.25">
      <c r="B21" s="5" t="e" cm="1" vm="1">
        <f t="array" aca="1" ref="B21" ca="1">F8:H10</f>
        <v>#VALUE!</v>
      </c>
      <c r="C21" s="38"/>
      <c r="D21" s="38"/>
      <c r="F21" t="s">
        <v>85</v>
      </c>
    </row>
    <row r="22" spans="2:10" x14ac:dyDescent="0.25">
      <c r="B22" s="38"/>
      <c r="C22" s="39" t="s">
        <v>84</v>
      </c>
      <c r="D22" s="38"/>
    </row>
    <row r="23" spans="2:10" x14ac:dyDescent="0.25">
      <c r="B23" s="38"/>
      <c r="C23" s="38"/>
      <c r="D23" s="38"/>
    </row>
    <row r="26" spans="2:10" x14ac:dyDescent="0.25">
      <c r="B26" s="40" cm="1">
        <f t="array" ref="B26:F30">'Ejemplo 1'!C7:G11</f>
        <v>1</v>
      </c>
      <c r="C26" s="40" t="str">
        <v>A</v>
      </c>
      <c r="D26" s="41" t="str">
        <v>Tijeras R14</v>
      </c>
      <c r="E26" s="40">
        <v>500</v>
      </c>
      <c r="F26" s="41" t="str">
        <v>Pieza</v>
      </c>
    </row>
    <row r="27" spans="2:10" x14ac:dyDescent="0.25">
      <c r="B27" s="40">
        <v>2</v>
      </c>
      <c r="C27" s="40" t="str">
        <v>B</v>
      </c>
      <c r="D27" s="41" t="str">
        <v>Lápiz 2HB</v>
      </c>
      <c r="E27" s="40">
        <v>345</v>
      </c>
      <c r="F27" s="41" t="str">
        <v>Paquete de 12 piezas</v>
      </c>
    </row>
    <row r="28" spans="2:10" x14ac:dyDescent="0.25">
      <c r="B28" s="40">
        <v>3</v>
      </c>
      <c r="C28" s="40" t="str">
        <v>C</v>
      </c>
      <c r="D28" s="41" t="str">
        <v>Lapicero Fino Azul</v>
      </c>
      <c r="E28" s="40">
        <v>12</v>
      </c>
      <c r="F28" s="41" t="str">
        <v>Caja con 100 piezas</v>
      </c>
    </row>
    <row r="29" spans="2:10" x14ac:dyDescent="0.25">
      <c r="B29" s="40">
        <v>4</v>
      </c>
      <c r="C29" s="40" t="str">
        <v>X</v>
      </c>
      <c r="D29" s="41" t="str">
        <v>Hoja Blanca Bond 30mg</v>
      </c>
      <c r="E29" s="40">
        <v>23</v>
      </c>
      <c r="F29" s="41" t="str">
        <v>Paquete de 500 unidades</v>
      </c>
    </row>
    <row r="30" spans="2:10" x14ac:dyDescent="0.25">
      <c r="B30" s="40">
        <v>5</v>
      </c>
      <c r="C30" s="40" t="str">
        <v>Y</v>
      </c>
      <c r="D30" s="41" t="str">
        <v>Borrador Redondo 5GX</v>
      </c>
      <c r="E30" s="40">
        <v>55</v>
      </c>
      <c r="F30" s="41" t="str">
        <v>Unidad</v>
      </c>
    </row>
    <row r="32" spans="2:10" x14ac:dyDescent="0.25">
      <c r="C32" s="1" t="s">
        <v>73</v>
      </c>
      <c r="D32" s="1" t="s">
        <v>86</v>
      </c>
    </row>
  </sheetData>
  <mergeCells count="2">
    <mergeCell ref="L6:N8"/>
    <mergeCell ref="K5:N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864AA-1DA0-44A8-882A-2A4C7C7376AF}">
  <dimension ref="B3:K21"/>
  <sheetViews>
    <sheetView zoomScale="160" zoomScaleNormal="160" workbookViewId="0">
      <selection activeCell="G22" sqref="G22"/>
    </sheetView>
  </sheetViews>
  <sheetFormatPr baseColWidth="10" defaultRowHeight="15" x14ac:dyDescent="0.25"/>
  <cols>
    <col min="6" max="6" width="25.140625" customWidth="1"/>
    <col min="7" max="7" width="11.7109375" customWidth="1"/>
    <col min="8" max="8" width="24.7109375" customWidth="1"/>
    <col min="11" max="11" width="20.85546875" customWidth="1"/>
  </cols>
  <sheetData>
    <row r="3" spans="2:11" x14ac:dyDescent="0.25">
      <c r="B3" s="40" cm="1">
        <f t="array" ref="B3:F7">'Ejemplo 1'!C7:G11</f>
        <v>1</v>
      </c>
      <c r="C3" s="40" t="str">
        <v>A</v>
      </c>
      <c r="D3" s="41" t="str">
        <v>Tijeras R14</v>
      </c>
      <c r="E3" s="40">
        <v>500</v>
      </c>
      <c r="F3" s="41" t="str">
        <v>Pieza</v>
      </c>
      <c r="H3" s="26" t="s">
        <v>87</v>
      </c>
      <c r="I3" s="26"/>
      <c r="J3" s="26"/>
      <c r="K3" s="26"/>
    </row>
    <row r="4" spans="2:11" x14ac:dyDescent="0.25">
      <c r="B4" s="40">
        <v>2</v>
      </c>
      <c r="C4" s="40" t="str">
        <v>B</v>
      </c>
      <c r="D4" s="41" t="str">
        <v>Lápiz 2HB</v>
      </c>
      <c r="E4" s="40">
        <v>345</v>
      </c>
      <c r="F4" s="41" t="str">
        <v>Paquete de 12 piezas</v>
      </c>
    </row>
    <row r="5" spans="2:11" x14ac:dyDescent="0.25">
      <c r="B5" s="40">
        <v>3</v>
      </c>
      <c r="C5" s="40" t="str">
        <v>C</v>
      </c>
      <c r="D5" s="41" t="str">
        <v>Lapicero Fino Azul</v>
      </c>
      <c r="E5" s="40">
        <v>12</v>
      </c>
      <c r="F5" s="41" t="str">
        <v>Caja con 100 piezas</v>
      </c>
      <c r="H5" t="s">
        <v>88</v>
      </c>
    </row>
    <row r="6" spans="2:11" x14ac:dyDescent="0.25">
      <c r="B6" s="40">
        <v>4</v>
      </c>
      <c r="C6" s="40" t="str">
        <v>X</v>
      </c>
      <c r="D6" s="41" t="str">
        <v>Hoja Blanca Bond 30mg</v>
      </c>
      <c r="E6" s="40">
        <v>23</v>
      </c>
      <c r="F6" s="41" t="str">
        <v>Paquete de 500 unidades</v>
      </c>
      <c r="H6" t="s">
        <v>89</v>
      </c>
    </row>
    <row r="7" spans="2:11" x14ac:dyDescent="0.25">
      <c r="B7" s="40">
        <v>5</v>
      </c>
      <c r="C7" s="40" t="str">
        <v>Y</v>
      </c>
      <c r="D7" s="41" t="str">
        <v>Borrador Redondo 5GX</v>
      </c>
      <c r="E7" s="40">
        <v>55</v>
      </c>
      <c r="F7" s="41" t="str">
        <v>Unidad</v>
      </c>
      <c r="H7" t="s">
        <v>90</v>
      </c>
    </row>
    <row r="8" spans="2:11" x14ac:dyDescent="0.25">
      <c r="H8" t="s">
        <v>91</v>
      </c>
    </row>
    <row r="9" spans="2:11" x14ac:dyDescent="0.25">
      <c r="C9" s="1" t="s">
        <v>73</v>
      </c>
      <c r="D9" s="1" t="s">
        <v>86</v>
      </c>
      <c r="H9" s="30" t="s">
        <v>92</v>
      </c>
      <c r="I9" s="30"/>
      <c r="J9" s="30"/>
      <c r="K9" s="30"/>
    </row>
    <row r="10" spans="2:11" x14ac:dyDescent="0.25">
      <c r="H10" s="30"/>
      <c r="I10" s="30"/>
      <c r="J10" s="30"/>
      <c r="K10" s="30"/>
    </row>
    <row r="12" spans="2:11" ht="15.75" thickBot="1" x14ac:dyDescent="0.3">
      <c r="B12" t="s">
        <v>93</v>
      </c>
      <c r="F12" s="43" t="s">
        <v>60</v>
      </c>
      <c r="H12" s="45" t="s">
        <v>94</v>
      </c>
      <c r="I12" s="45"/>
      <c r="J12" s="45"/>
      <c r="K12" s="45"/>
    </row>
    <row r="13" spans="2:11" ht="15.75" thickTop="1" x14ac:dyDescent="0.25">
      <c r="B13" s="42" t="s">
        <v>29</v>
      </c>
      <c r="C13" s="42" t="s">
        <v>25</v>
      </c>
      <c r="D13" s="42" t="s">
        <v>26</v>
      </c>
      <c r="E13" s="42" t="s">
        <v>27</v>
      </c>
      <c r="F13" s="42" t="s">
        <v>28</v>
      </c>
      <c r="H13" t="s">
        <v>95</v>
      </c>
      <c r="K13" t="s">
        <v>98</v>
      </c>
    </row>
    <row r="14" spans="2:11" x14ac:dyDescent="0.25">
      <c r="B14" s="18">
        <v>1</v>
      </c>
      <c r="C14" s="19" t="s">
        <v>30</v>
      </c>
      <c r="D14" s="19" t="s">
        <v>35</v>
      </c>
      <c r="E14" s="19">
        <v>500</v>
      </c>
      <c r="F14" s="20" t="s">
        <v>40</v>
      </c>
      <c r="H14" t="s">
        <v>96</v>
      </c>
    </row>
    <row r="15" spans="2:11" x14ac:dyDescent="0.25">
      <c r="B15" s="21">
        <v>2</v>
      </c>
      <c r="C15" s="10" t="s">
        <v>31</v>
      </c>
      <c r="D15" s="10" t="s">
        <v>36</v>
      </c>
      <c r="E15" s="10">
        <v>345</v>
      </c>
      <c r="F15" s="22" t="s">
        <v>41</v>
      </c>
    </row>
    <row r="16" spans="2:11" x14ac:dyDescent="0.25">
      <c r="B16" s="21">
        <v>3</v>
      </c>
      <c r="C16" s="10" t="s">
        <v>32</v>
      </c>
      <c r="D16" s="10" t="s">
        <v>37</v>
      </c>
      <c r="E16" s="10">
        <v>12</v>
      </c>
      <c r="F16" s="22" t="s">
        <v>42</v>
      </c>
      <c r="H16" t="s">
        <v>97</v>
      </c>
    </row>
    <row r="17" spans="2:10" x14ac:dyDescent="0.25">
      <c r="B17" s="21">
        <v>4</v>
      </c>
      <c r="C17" s="10" t="s">
        <v>33</v>
      </c>
      <c r="D17" s="10" t="s">
        <v>38</v>
      </c>
      <c r="E17" s="10">
        <v>23</v>
      </c>
      <c r="F17" s="22" t="s">
        <v>43</v>
      </c>
      <c r="I17" t="s">
        <v>29</v>
      </c>
      <c r="J17" s="44">
        <v>1</v>
      </c>
    </row>
    <row r="18" spans="2:10" x14ac:dyDescent="0.25">
      <c r="B18" s="23">
        <v>5</v>
      </c>
      <c r="C18" s="24" t="s">
        <v>34</v>
      </c>
      <c r="D18" s="24" t="s">
        <v>39</v>
      </c>
      <c r="E18" s="24">
        <v>55</v>
      </c>
      <c r="F18" s="25" t="s">
        <v>28</v>
      </c>
      <c r="I18" t="s">
        <v>25</v>
      </c>
      <c r="J18" s="44" t="s">
        <v>30</v>
      </c>
    </row>
    <row r="19" spans="2:10" x14ac:dyDescent="0.25">
      <c r="I19" t="s">
        <v>26</v>
      </c>
      <c r="J19" s="44" t="s">
        <v>35</v>
      </c>
    </row>
    <row r="20" spans="2:10" x14ac:dyDescent="0.25">
      <c r="I20" t="s">
        <v>27</v>
      </c>
      <c r="J20" s="44">
        <v>500</v>
      </c>
    </row>
    <row r="21" spans="2:10" x14ac:dyDescent="0.25">
      <c r="I21" t="s">
        <v>28</v>
      </c>
      <c r="J21" s="44" t="s">
        <v>40</v>
      </c>
    </row>
  </sheetData>
  <mergeCells count="3">
    <mergeCell ref="H9:K10"/>
    <mergeCell ref="H3:K3"/>
    <mergeCell ref="H12:K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B0543-91DB-4134-A173-A13717F9FD03}">
  <dimension ref="A2:I48"/>
  <sheetViews>
    <sheetView zoomScale="145" zoomScaleNormal="145" workbookViewId="0">
      <selection activeCell="B3" sqref="B3"/>
    </sheetView>
  </sheetViews>
  <sheetFormatPr baseColWidth="10" defaultRowHeight="15" x14ac:dyDescent="0.25"/>
  <cols>
    <col min="3" max="3" width="21.5703125" customWidth="1"/>
    <col min="4" max="4" width="17.5703125" customWidth="1"/>
    <col min="6" max="6" width="29.85546875" customWidth="1"/>
  </cols>
  <sheetData>
    <row r="2" spans="2:6" x14ac:dyDescent="0.25">
      <c r="B2" t="str" cm="1">
        <f t="array" ref="B2:F2">'Ejemplo 1'!C6:G6</f>
        <v>Indice</v>
      </c>
      <c r="C2" t="str">
        <v>Clave</v>
      </c>
      <c r="D2" t="str">
        <v>Nombre</v>
      </c>
      <c r="E2" t="str">
        <v>Cantidad</v>
      </c>
      <c r="F2" t="str">
        <v>Unidad</v>
      </c>
    </row>
    <row r="3" spans="2:6" x14ac:dyDescent="0.25">
      <c r="B3" cm="1">
        <f t="array" ref="B3:F7">'Ejemplo 1'!C7:G11</f>
        <v>1</v>
      </c>
      <c r="C3" t="str">
        <v>A</v>
      </c>
      <c r="D3" t="str">
        <v>Tijeras R14</v>
      </c>
      <c r="E3">
        <v>500</v>
      </c>
      <c r="F3" t="str">
        <v>Pieza</v>
      </c>
    </row>
    <row r="4" spans="2:6" x14ac:dyDescent="0.25">
      <c r="B4">
        <v>2</v>
      </c>
      <c r="C4" t="str">
        <v>B</v>
      </c>
      <c r="D4" t="str">
        <v>Lápiz 2HB</v>
      </c>
      <c r="E4">
        <v>345</v>
      </c>
      <c r="F4" t="str">
        <v>Paquete de 12 piezas</v>
      </c>
    </row>
    <row r="5" spans="2:6" x14ac:dyDescent="0.25">
      <c r="B5">
        <v>3</v>
      </c>
      <c r="C5" t="str">
        <v>C</v>
      </c>
      <c r="D5" t="str">
        <v>Lapicero Fino Azul</v>
      </c>
      <c r="E5">
        <v>12</v>
      </c>
      <c r="F5" t="str">
        <v>Caja con 100 piezas</v>
      </c>
    </row>
    <row r="6" spans="2:6" x14ac:dyDescent="0.25">
      <c r="B6">
        <v>4</v>
      </c>
      <c r="C6" t="str">
        <v>X</v>
      </c>
      <c r="D6" t="str">
        <v>Hoja Blanca Bond 30mg</v>
      </c>
      <c r="E6">
        <v>23</v>
      </c>
      <c r="F6" t="str">
        <v>Paquete de 500 unidades</v>
      </c>
    </row>
    <row r="7" spans="2:6" x14ac:dyDescent="0.25">
      <c r="B7">
        <v>5</v>
      </c>
      <c r="C7" t="str">
        <v>Y</v>
      </c>
      <c r="D7" t="str">
        <v>Borrador Redondo 5GX</v>
      </c>
      <c r="E7">
        <v>55</v>
      </c>
      <c r="F7" t="str">
        <v>Unidad</v>
      </c>
    </row>
    <row r="10" spans="2:6" x14ac:dyDescent="0.25">
      <c r="B10" s="26" t="s">
        <v>99</v>
      </c>
      <c r="C10" s="26"/>
      <c r="D10" t="s">
        <v>100</v>
      </c>
    </row>
    <row r="11" spans="2:6" x14ac:dyDescent="0.25">
      <c r="D11" t="s">
        <v>101</v>
      </c>
    </row>
    <row r="13" spans="2:6" x14ac:dyDescent="0.25">
      <c r="B13" t="s">
        <v>73</v>
      </c>
      <c r="C13" t="s">
        <v>102</v>
      </c>
    </row>
    <row r="15" spans="2:6" x14ac:dyDescent="0.25">
      <c r="C15" t="s">
        <v>103</v>
      </c>
    </row>
    <row r="17" spans="2:6" x14ac:dyDescent="0.25">
      <c r="B17" t="s">
        <v>25</v>
      </c>
      <c r="C17" s="46" t="s">
        <v>30</v>
      </c>
    </row>
    <row r="19" spans="2:6" x14ac:dyDescent="0.25">
      <c r="D19" s="15" t="s">
        <v>104</v>
      </c>
    </row>
    <row r="20" spans="2:6" x14ac:dyDescent="0.25">
      <c r="B20" t="str" cm="1">
        <f t="array" ref="B20:B24">TRANSPOSE(B2:F2)</f>
        <v>Indice</v>
      </c>
      <c r="C20" s="44">
        <f>IFERROR(LOOKUP(C17,C3:C7,B3:B7), "-")</f>
        <v>1</v>
      </c>
      <c r="D20" s="15"/>
    </row>
    <row r="21" spans="2:6" x14ac:dyDescent="0.25">
      <c r="B21" t="str">
        <v>Clave</v>
      </c>
      <c r="C21" s="44" t="str">
        <f>IFERROR(LOOKUP(C17,C3:C7,C3:C7), "No encontrado")</f>
        <v>A</v>
      </c>
      <c r="D21" s="15"/>
    </row>
    <row r="22" spans="2:6" x14ac:dyDescent="0.25">
      <c r="B22" t="str">
        <v>Nombre</v>
      </c>
      <c r="C22" s="44" t="str">
        <f>IFERROR(LOOKUP(C17,C3:C7,D3:D7), "")</f>
        <v>Tijeras R14</v>
      </c>
      <c r="D22" s="15"/>
    </row>
    <row r="23" spans="2:6" x14ac:dyDescent="0.25">
      <c r="B23" t="str">
        <v>Cantidad</v>
      </c>
      <c r="C23" s="44">
        <f>IFERROR(LOOKUP(C17,C3:C7,E3:E7), "")</f>
        <v>500</v>
      </c>
      <c r="D23" s="47">
        <f>IFERROR(C23/SUM(E3:E7), "")</f>
        <v>0.53475935828877008</v>
      </c>
    </row>
    <row r="24" spans="2:6" x14ac:dyDescent="0.25">
      <c r="B24" t="str">
        <v>Unidad</v>
      </c>
      <c r="C24" s="44" t="str">
        <f>IFERROR(LOOKUP(C17,C3:C7,F3:F7), "")</f>
        <v>Pieza</v>
      </c>
      <c r="D24" s="15"/>
    </row>
    <row r="27" spans="2:6" x14ac:dyDescent="0.25">
      <c r="B27" s="27" t="s">
        <v>106</v>
      </c>
      <c r="C27" s="29"/>
      <c r="D27" t="s">
        <v>107</v>
      </c>
    </row>
    <row r="29" spans="2:6" x14ac:dyDescent="0.25">
      <c r="B29" s="48" t="s">
        <v>25</v>
      </c>
      <c r="C29" s="49" t="s">
        <v>108</v>
      </c>
      <c r="D29" s="49" t="s">
        <v>26</v>
      </c>
      <c r="E29" s="49" t="s">
        <v>27</v>
      </c>
      <c r="F29" s="49" t="s">
        <v>28</v>
      </c>
    </row>
    <row r="30" spans="2:6" x14ac:dyDescent="0.25">
      <c r="B30" s="50" t="str" cm="1">
        <f t="array" ref="B30:B34">C3:C7</f>
        <v>A</v>
      </c>
      <c r="C30" s="19" cm="1">
        <f t="array" ref="C30:C34">B3:B7</f>
        <v>1</v>
      </c>
      <c r="D30" s="19" t="str" cm="1">
        <f t="array" ref="D30:D34">D3:D7</f>
        <v>Tijeras R14</v>
      </c>
      <c r="E30" s="19" cm="1">
        <f t="array" ref="E30:E34">E3:E7</f>
        <v>500</v>
      </c>
      <c r="F30" s="20" t="str" cm="1">
        <f t="array" ref="F30:F34">F3:F7</f>
        <v>Pieza</v>
      </c>
    </row>
    <row r="31" spans="2:6" x14ac:dyDescent="0.25">
      <c r="B31" s="51" t="str">
        <v>B</v>
      </c>
      <c r="C31" s="10">
        <v>2</v>
      </c>
      <c r="D31" s="10" t="str">
        <v>Lápiz 2HB</v>
      </c>
      <c r="E31" s="10">
        <v>345</v>
      </c>
      <c r="F31" s="22" t="str">
        <v>Paquete de 12 piezas</v>
      </c>
    </row>
    <row r="32" spans="2:6" x14ac:dyDescent="0.25">
      <c r="B32" s="51" t="str">
        <v>C</v>
      </c>
      <c r="C32" s="10">
        <v>3</v>
      </c>
      <c r="D32" s="10" t="str">
        <v>Lapicero Fino Azul</v>
      </c>
      <c r="E32" s="10">
        <v>12</v>
      </c>
      <c r="F32" s="22" t="str">
        <v>Caja con 100 piezas</v>
      </c>
    </row>
    <row r="33" spans="1:9" x14ac:dyDescent="0.25">
      <c r="B33" s="51" t="str">
        <v>X</v>
      </c>
      <c r="C33" s="10">
        <v>4</v>
      </c>
      <c r="D33" s="10" t="str">
        <v>Hoja Blanca Bond 30mg</v>
      </c>
      <c r="E33" s="10">
        <v>23</v>
      </c>
      <c r="F33" s="22" t="str">
        <v>Paquete de 500 unidades</v>
      </c>
    </row>
    <row r="34" spans="1:9" x14ac:dyDescent="0.25">
      <c r="B34" s="52" t="str">
        <v>Y</v>
      </c>
      <c r="C34" s="55">
        <v>5</v>
      </c>
      <c r="D34" s="55" t="str">
        <v>Borrador Redondo 5GX</v>
      </c>
      <c r="E34" s="55">
        <v>55</v>
      </c>
      <c r="F34" s="56" t="str">
        <v>Unidad</v>
      </c>
    </row>
    <row r="36" spans="1:9" x14ac:dyDescent="0.25">
      <c r="B36" s="1" t="s">
        <v>73</v>
      </c>
      <c r="C36" s="1" t="s">
        <v>109</v>
      </c>
    </row>
    <row r="37" spans="1:9" x14ac:dyDescent="0.25">
      <c r="E37" s="49" t="str" cm="1">
        <f t="array" ref="E37:I37">TRANSPOSE(_xlfn.ANCHORARRAY(B40))</f>
        <v>Clave</v>
      </c>
      <c r="F37" s="49" t="str">
        <v>Índice</v>
      </c>
      <c r="G37" s="49" t="str">
        <v>Nombre</v>
      </c>
      <c r="H37" s="49" t="str">
        <v>Cantidad</v>
      </c>
      <c r="I37" s="49" t="str">
        <v>Unidad</v>
      </c>
    </row>
    <row r="38" spans="1:9" x14ac:dyDescent="0.25">
      <c r="B38" t="s">
        <v>25</v>
      </c>
      <c r="C38" s="2" t="s">
        <v>105</v>
      </c>
      <c r="E38" s="53" t="str" cm="1">
        <f t="array" ref="E38:I38">TRANSPOSE(C40:C44)</f>
        <v>Y</v>
      </c>
      <c r="F38" s="53">
        <v>5</v>
      </c>
      <c r="G38" s="53" t="str">
        <v>Borrador Redondo 5GX</v>
      </c>
      <c r="H38" s="53">
        <v>55</v>
      </c>
      <c r="I38" s="53" t="str">
        <v>Unidad</v>
      </c>
    </row>
    <row r="40" spans="1:9" x14ac:dyDescent="0.25">
      <c r="A40" s="38">
        <v>1</v>
      </c>
      <c r="B40" s="49" t="str" cm="1">
        <f t="array" ref="B40:B44">TRANSPOSE(B29:F29)</f>
        <v>Clave</v>
      </c>
      <c r="C40" s="54" t="str">
        <f>VLOOKUP($C$38,$B$30:$F$34,A40,FALSE)</f>
        <v>Y</v>
      </c>
    </row>
    <row r="41" spans="1:9" x14ac:dyDescent="0.25">
      <c r="A41" s="38">
        <v>2</v>
      </c>
      <c r="B41" s="49" t="str">
        <v>Índice</v>
      </c>
      <c r="C41" s="54">
        <f t="shared" ref="C41:C44" si="0">VLOOKUP($C$38,$B$30:$F$34,A41,FALSE)</f>
        <v>5</v>
      </c>
    </row>
    <row r="42" spans="1:9" x14ac:dyDescent="0.25">
      <c r="A42" s="38">
        <v>3</v>
      </c>
      <c r="B42" s="49" t="str">
        <v>Nombre</v>
      </c>
      <c r="C42" s="54" t="str">
        <f t="shared" si="0"/>
        <v>Borrador Redondo 5GX</v>
      </c>
    </row>
    <row r="43" spans="1:9" x14ac:dyDescent="0.25">
      <c r="A43" s="38">
        <v>4</v>
      </c>
      <c r="B43" s="49" t="str">
        <v>Cantidad</v>
      </c>
      <c r="C43" s="54">
        <f t="shared" si="0"/>
        <v>55</v>
      </c>
    </row>
    <row r="44" spans="1:9" x14ac:dyDescent="0.25">
      <c r="A44" s="38">
        <v>5</v>
      </c>
      <c r="B44" s="49" t="str">
        <v>Unidad</v>
      </c>
      <c r="C44" s="54" t="str">
        <f t="shared" si="0"/>
        <v>Unidad</v>
      </c>
    </row>
    <row r="47" spans="1:9" x14ac:dyDescent="0.25">
      <c r="B47" s="27" t="s">
        <v>110</v>
      </c>
      <c r="C47" s="29"/>
      <c r="D47" s="30" t="s">
        <v>111</v>
      </c>
      <c r="E47" s="30"/>
      <c r="F47" s="30"/>
      <c r="G47" s="30"/>
      <c r="H47" s="30"/>
      <c r="I47" s="30"/>
    </row>
    <row r="48" spans="1:9" x14ac:dyDescent="0.25">
      <c r="D48" s="30"/>
      <c r="E48" s="30"/>
      <c r="F48" s="30"/>
      <c r="G48" s="30"/>
      <c r="H48" s="30"/>
      <c r="I48" s="30"/>
    </row>
  </sheetData>
  <mergeCells count="4">
    <mergeCell ref="D47:I48"/>
    <mergeCell ref="B10:C10"/>
    <mergeCell ref="B27:C27"/>
    <mergeCell ref="B47:C4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168E6-1708-4D48-8824-EFB35759111C}">
  <dimension ref="C3:J34"/>
  <sheetViews>
    <sheetView tabSelected="1" topLeftCell="B1" zoomScale="175" zoomScaleNormal="175" workbookViewId="0">
      <selection activeCell="H32" sqref="H32"/>
    </sheetView>
  </sheetViews>
  <sheetFormatPr baseColWidth="10" defaultRowHeight="15" x14ac:dyDescent="0.25"/>
  <cols>
    <col min="7" max="7" width="24.28515625" customWidth="1"/>
  </cols>
  <sheetData>
    <row r="3" spans="3:10" x14ac:dyDescent="0.25">
      <c r="C3" t="str" cm="1">
        <f t="array" ref="C3:G3">'Ejemplo 1'!C6:G6</f>
        <v>Indice</v>
      </c>
      <c r="D3" t="str">
        <v>Clave</v>
      </c>
      <c r="E3" t="str">
        <v>Nombre</v>
      </c>
      <c r="F3" t="str">
        <v>Cantidad</v>
      </c>
      <c r="G3" t="str">
        <v>Unidad</v>
      </c>
    </row>
    <row r="4" spans="3:10" x14ac:dyDescent="0.25">
      <c r="C4" cm="1">
        <f t="array" ref="C4:G8">'Ejemplo 1'!C7:G11</f>
        <v>1</v>
      </c>
      <c r="D4" t="str">
        <v>A</v>
      </c>
      <c r="E4" t="str">
        <v>Tijeras R14</v>
      </c>
      <c r="F4">
        <v>500</v>
      </c>
      <c r="G4" t="str">
        <v>Pieza</v>
      </c>
    </row>
    <row r="5" spans="3:10" x14ac:dyDescent="0.25">
      <c r="C5">
        <v>2</v>
      </c>
      <c r="D5" t="str">
        <v>B</v>
      </c>
      <c r="E5" t="str">
        <v>Lápiz 2HB</v>
      </c>
      <c r="F5">
        <v>345</v>
      </c>
      <c r="G5" t="str">
        <v>Paquete de 12 piezas</v>
      </c>
    </row>
    <row r="6" spans="3:10" x14ac:dyDescent="0.25">
      <c r="C6">
        <v>3</v>
      </c>
      <c r="D6" t="str">
        <v>C</v>
      </c>
      <c r="E6" t="str">
        <v>Lapicero Fino Azul</v>
      </c>
      <c r="F6">
        <v>12</v>
      </c>
      <c r="G6" t="str">
        <v>Caja con 100 piezas</v>
      </c>
    </row>
    <row r="7" spans="3:10" x14ac:dyDescent="0.25">
      <c r="C7">
        <v>4</v>
      </c>
      <c r="D7" t="str">
        <v>X</v>
      </c>
      <c r="E7" t="str">
        <v>Hoja Blanca Bond 30mg</v>
      </c>
      <c r="F7">
        <v>23</v>
      </c>
      <c r="G7" t="str">
        <v>Paquete de 500 unidades</v>
      </c>
    </row>
    <row r="8" spans="3:10" x14ac:dyDescent="0.25">
      <c r="C8">
        <v>5</v>
      </c>
      <c r="D8" t="str">
        <v>Y</v>
      </c>
      <c r="E8" t="str">
        <v>Borrador Redondo 5GX</v>
      </c>
      <c r="F8">
        <v>55</v>
      </c>
      <c r="G8" t="str">
        <v>Unidad</v>
      </c>
    </row>
    <row r="11" spans="3:10" x14ac:dyDescent="0.25">
      <c r="C11" cm="1">
        <f t="array" ref="C11:G13">_xlfn._xlws.FILTER(C4:G8, F4:F8&lt;100)</f>
        <v>3</v>
      </c>
      <c r="D11" t="str">
        <v>C</v>
      </c>
      <c r="E11" t="str">
        <v>Lapicero Fino Azul</v>
      </c>
      <c r="F11">
        <v>12</v>
      </c>
      <c r="G11" t="str">
        <v>Caja con 100 piezas</v>
      </c>
      <c r="I11" t="s">
        <v>112</v>
      </c>
    </row>
    <row r="12" spans="3:10" x14ac:dyDescent="0.25">
      <c r="C12">
        <v>4</v>
      </c>
      <c r="D12" t="str">
        <v>X</v>
      </c>
      <c r="E12" t="str">
        <v>Hoja Blanca Bond 30mg</v>
      </c>
      <c r="F12">
        <v>23</v>
      </c>
      <c r="G12" t="str">
        <v>Paquete de 500 unidades</v>
      </c>
    </row>
    <row r="13" spans="3:10" x14ac:dyDescent="0.25">
      <c r="C13">
        <v>5</v>
      </c>
      <c r="D13" t="str">
        <v>Y</v>
      </c>
      <c r="E13" t="str">
        <v>Borrador Redondo 5GX</v>
      </c>
      <c r="F13">
        <v>55</v>
      </c>
      <c r="G13" t="str">
        <v>Unidad</v>
      </c>
      <c r="I13" s="1" t="s">
        <v>73</v>
      </c>
      <c r="J13" s="1" t="s">
        <v>113</v>
      </c>
    </row>
    <row r="15" spans="3:10" x14ac:dyDescent="0.25">
      <c r="C15" s="27" t="s">
        <v>114</v>
      </c>
      <c r="D15" s="29"/>
      <c r="F15" t="s">
        <v>115</v>
      </c>
      <c r="I15" t="b" cm="1">
        <f t="array" ref="I15:I19">F4:F8&lt;100</f>
        <v>0</v>
      </c>
    </row>
    <row r="16" spans="3:10" x14ac:dyDescent="0.25">
      <c r="I16" t="b">
        <v>0</v>
      </c>
    </row>
    <row r="17" spans="3:9" x14ac:dyDescent="0.25">
      <c r="C17" s="1" t="s">
        <v>73</v>
      </c>
      <c r="D17" s="1" t="s">
        <v>116</v>
      </c>
      <c r="I17" t="b">
        <v>1</v>
      </c>
    </row>
    <row r="18" spans="3:9" x14ac:dyDescent="0.25">
      <c r="C18" t="str">
        <f>INDEX(C4:G8,4,3)</f>
        <v>Hoja Blanca Bond 30mg</v>
      </c>
      <c r="I18" t="b">
        <v>1</v>
      </c>
    </row>
    <row r="19" spans="3:9" x14ac:dyDescent="0.25">
      <c r="I19" t="b">
        <v>1</v>
      </c>
    </row>
    <row r="20" spans="3:9" x14ac:dyDescent="0.25">
      <c r="C20" s="1" t="s">
        <v>73</v>
      </c>
      <c r="D20" s="1" t="s">
        <v>117</v>
      </c>
      <c r="G20" s="16" t="s">
        <v>119</v>
      </c>
      <c r="H20" s="16"/>
    </row>
    <row r="21" spans="3:9" x14ac:dyDescent="0.25">
      <c r="C21" t="str" cm="1">
        <f t="array" ref="C21:C25">INDEX(C4:G8,0,3)</f>
        <v>Tijeras R14</v>
      </c>
    </row>
    <row r="22" spans="3:9" x14ac:dyDescent="0.25">
      <c r="C22" t="str">
        <v>Lápiz 2HB</v>
      </c>
    </row>
    <row r="23" spans="3:9" x14ac:dyDescent="0.25">
      <c r="C23" t="str">
        <v>Lapicero Fino Azul</v>
      </c>
    </row>
    <row r="24" spans="3:9" x14ac:dyDescent="0.25">
      <c r="C24" t="str">
        <v>Hoja Blanca Bond 30mg</v>
      </c>
    </row>
    <row r="25" spans="3:9" x14ac:dyDescent="0.25">
      <c r="C25" t="str">
        <v>Borrador Redondo 5GX</v>
      </c>
    </row>
    <row r="27" spans="3:9" x14ac:dyDescent="0.25">
      <c r="C27" s="1" t="s">
        <v>73</v>
      </c>
      <c r="D27" s="1" t="s">
        <v>118</v>
      </c>
      <c r="G27" s="16" t="s">
        <v>120</v>
      </c>
      <c r="H27" s="16"/>
    </row>
    <row r="29" spans="3:9" x14ac:dyDescent="0.25">
      <c r="C29" cm="1">
        <f t="array" ref="C29:G29">INDEX(C4:G8,4,0)</f>
        <v>4</v>
      </c>
      <c r="D29" t="str">
        <v>X</v>
      </c>
      <c r="E29" t="str">
        <v>Hoja Blanca Bond 30mg</v>
      </c>
      <c r="F29">
        <v>23</v>
      </c>
      <c r="G29" t="str">
        <v>Paquete de 500 unidades</v>
      </c>
    </row>
    <row r="32" spans="3:9" x14ac:dyDescent="0.25">
      <c r="C32" t="str" cm="1">
        <f t="array" ref="C32:C34">INDEX(_xlfn._xlws.FILTER(C4:G8, F4:F8&lt;100),0,2)</f>
        <v>C</v>
      </c>
      <c r="D32" s="1" t="s">
        <v>73</v>
      </c>
      <c r="E32" s="1" t="s">
        <v>121</v>
      </c>
      <c r="H32" s="57"/>
    </row>
    <row r="33" spans="3:3" x14ac:dyDescent="0.25">
      <c r="C33" t="str">
        <v>X</v>
      </c>
    </row>
    <row r="34" spans="3:3" x14ac:dyDescent="0.25">
      <c r="C34" t="str">
        <v>Y</v>
      </c>
    </row>
  </sheetData>
  <mergeCells count="3">
    <mergeCell ref="C15:D15"/>
    <mergeCell ref="G20:H20"/>
    <mergeCell ref="G27:H2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Direcciones</vt:lpstr>
      <vt:lpstr>Ejemplo 1</vt:lpstr>
      <vt:lpstr>Proyecciones</vt:lpstr>
      <vt:lpstr>Ejercicio 1</vt:lpstr>
      <vt:lpstr>Buscar</vt:lpstr>
      <vt:lpstr>Filtrar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2026-07-06T23:14:35Z</dcterms:created>
  <dcterms:modified xsi:type="dcterms:W3CDTF">2026-07-07T01:04:05Z</dcterms:modified>
</cp:coreProperties>
</file>