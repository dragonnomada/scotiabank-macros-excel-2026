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/>
  <workbookPr defaultThemeVersion="202300"/>
  <mc:AlternateContent xmlns:mc="http://schemas.openxmlformats.org/markup-compatibility/2006">
    <mc:Choice Requires="x15">
      <x15ac:absPath xmlns:x15ac="http://schemas.microsoft.com/office/spreadsheetml/2010/11/ac" url="C:\Curso Macros Excel - Scotiabank 2026\Grupo 2\"/>
    </mc:Choice>
  </mc:AlternateContent>
  <xr:revisionPtr revIDLastSave="0" documentId="13_ncr:1_{779F06D0-A0E3-46E1-8132-7F23D645FFB9}" xr6:coauthVersionLast="47" xr6:coauthVersionMax="47" xr10:uidLastSave="{00000000-0000-0000-0000-000000000000}"/>
  <bookViews>
    <workbookView xWindow="-120" yWindow="-120" windowWidth="29040" windowHeight="15720" activeTab="3" xr2:uid="{CF494D62-5C6A-4B4E-B960-DED73E713336}"/>
  </bookViews>
  <sheets>
    <sheet name="Fórmulas" sheetId="1" r:id="rId1"/>
    <sheet name="Ejemplo 1" sheetId="2" r:id="rId2"/>
    <sheet name="Índice" sheetId="3" r:id="rId3"/>
    <sheet name="Coincidir" sheetId="4" r:id="rId4"/>
  </sheets>
  <definedNames>
    <definedName name="_xleta.INDE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K12" i="4" l="1" a="1"/>
  <c r="K12" i="4" s="1"/>
  <c r="C32" i="4"/>
  <c r="C30" i="4"/>
  <c r="N30" i="4" a="1"/>
  <c r="N30" i="4" s="1"/>
  <c r="D32" i="4" a="1"/>
  <c r="K30" i="4" a="1"/>
  <c r="D32" i="4" l="1"/>
  <c r="K30" i="4"/>
  <c r="J12" i="4"/>
  <c r="K10" i="4"/>
  <c r="P20" i="3" a="1"/>
  <c r="P20" i="3" s="1"/>
  <c r="O20" i="3" a="1"/>
  <c r="O20" i="3" s="1"/>
  <c r="N20" i="3" a="1"/>
  <c r="N20" i="3" s="1"/>
  <c r="M20" i="3" a="1"/>
  <c r="M20" i="3" s="1"/>
  <c r="C27" i="3" a="1"/>
  <c r="C27" i="3" s="1"/>
  <c r="C28" i="3" a="1"/>
  <c r="C28" i="3" s="1"/>
  <c r="C29" i="3" a="1"/>
  <c r="C29" i="3" s="1"/>
  <c r="C30" i="3" a="1"/>
  <c r="C30" i="3" s="1"/>
  <c r="C31" i="3" a="1"/>
  <c r="C31" i="3" s="1"/>
  <c r="C32" i="3" a="1"/>
  <c r="C32" i="3" s="1"/>
  <c r="C26" i="3" a="1"/>
  <c r="C26" i="3" s="1"/>
  <c r="B26" i="3" a="1"/>
  <c r="B26" i="3" s="1"/>
  <c r="M18" i="3" a="1"/>
  <c r="M18" i="3" s="1"/>
  <c r="M17" i="3" a="1"/>
  <c r="M17" i="3" s="1"/>
  <c r="M16" i="3" a="1"/>
  <c r="M16" i="3" s="1"/>
  <c r="M15" i="3" a="1"/>
  <c r="M15" i="3" s="1"/>
  <c r="M14" i="3" a="1"/>
  <c r="M14" i="3" s="1"/>
  <c r="M13" i="3" a="1"/>
  <c r="M13" i="3" s="1"/>
  <c r="M12" i="3" a="1"/>
  <c r="M12" i="3" s="1"/>
  <c r="H22" i="3" a="1"/>
  <c r="H22" i="3" s="1"/>
  <c r="H20" i="3" a="1"/>
  <c r="H20" i="3" s="1"/>
  <c r="H18" i="3" a="1"/>
  <c r="H18" i="3" s="1"/>
  <c r="H17" i="3" a="1"/>
  <c r="H17" i="3" s="1"/>
  <c r="H16" i="3" a="1"/>
  <c r="H16" i="3" s="1"/>
  <c r="H15" i="3" a="1"/>
  <c r="H15" i="3" s="1"/>
  <c r="H14" i="3" a="1"/>
  <c r="H14" i="3" s="1"/>
  <c r="H13" i="3" a="1"/>
  <c r="H13" i="3" s="1"/>
  <c r="H12" i="3" a="1"/>
  <c r="H12" i="3" s="1"/>
  <c r="B25" i="2" a="1"/>
  <c r="B25" i="2" s="1"/>
  <c r="K16" i="2" a="1"/>
  <c r="K16" i="2" s="1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H16" i="2" a="1"/>
  <c r="H16" i="2" s="1"/>
  <c r="I16" i="2" s="1"/>
  <c r="G16" i="2" a="1"/>
  <c r="G16" i="2" s="1"/>
  <c r="H9" i="2" a="1"/>
  <c r="H9" i="2" s="1"/>
  <c r="J13" i="4"/>
  <c r="J14" i="4"/>
  <c r="J15" i="4"/>
  <c r="J16" i="4"/>
  <c r="J17" i="4"/>
  <c r="J18" i="4"/>
  <c r="J19" i="4"/>
  <c r="J20" i="4"/>
  <c r="J21" i="4"/>
  <c r="K21" i="4" l="1" a="1"/>
  <c r="K21" i="4" s="1"/>
  <c r="K20" i="4" a="1"/>
  <c r="K20" i="4" s="1"/>
  <c r="K19" i="4" a="1"/>
  <c r="K19" i="4" s="1"/>
  <c r="K18" i="4" a="1"/>
  <c r="K18" i="4" s="1"/>
  <c r="K17" i="4" a="1"/>
  <c r="K17" i="4" s="1"/>
  <c r="K16" i="4" a="1"/>
  <c r="K16" i="4" s="1"/>
  <c r="K15" i="4" a="1"/>
  <c r="K15" i="4" s="1"/>
  <c r="K14" i="4" a="1"/>
  <c r="K14" i="4" s="1"/>
  <c r="K13" i="4" a="1"/>
  <c r="K13" i="4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<sst xmlns="http://schemas.openxmlformats.org/spreadsheetml/2006/main" count="249" uniqueCount="97">
  <si>
    <t>Fórmulas elementales para ubicar y adquirir datos</t>
  </si>
  <si>
    <t>Proyecciones</t>
  </si>
  <si>
    <t>=</t>
  </si>
  <si>
    <t>[COLUMNA][FILA]</t>
  </si>
  <si>
    <t>CELDA</t>
  </si>
  <si>
    <t>RANGO</t>
  </si>
  <si>
    <t>[COLUMNA INICIAL][FILA INICIAL]:[COLUMNA FINAL][FILA FINAL]</t>
  </si>
  <si>
    <t>Buscar</t>
  </si>
  <si>
    <t>BUSCAR([VALOR], [RANGO COLUMNA BÚSQUEDA], [RANGO COLUMNA RESULTADOS])</t>
  </si>
  <si>
    <t>Devuelve el resultado de la misma posición encontrada, dentro del la columna de resultados, cuyo valor buscado sea la última posición ubicada en la columna de búsqueda</t>
  </si>
  <si>
    <t>Solo sirve para ubicar umbrales o valores próximos</t>
  </si>
  <si>
    <t>Buscar Vertical</t>
  </si>
  <si>
    <t>BUSCARV([VALOR], [MATRIZ CON 1RA COLUMNA DE BÚSQUEDA], [COLUMNA], FALSO - EXACTA / VERDADERO - APROXIMADA)</t>
  </si>
  <si>
    <t>Devuelve el resultado de la columa específicada en la posición del valor ubicado en la primera columna de la matriz que coincida, de forma exacta o aproximada</t>
  </si>
  <si>
    <t>Buscar Horizontal</t>
  </si>
  <si>
    <t>Funciona igual que el buscar vertical, pero supone que la búsqueda se hará sobre la primera fila y se devolverá como resultado otra fila</t>
  </si>
  <si>
    <t>A</t>
  </si>
  <si>
    <t>B</t>
  </si>
  <si>
    <t>C</t>
  </si>
  <si>
    <t>Filtrar</t>
  </si>
  <si>
    <t>FILTRAR([MATRIZ], [MÁSCARA] / [POSICIONES LÓGICAS], [VACÍO])</t>
  </si>
  <si>
    <t>Devuelve una submatriz con todas filas que cumplen la máscara (posiciones activadas)</t>
  </si>
  <si>
    <t>D</t>
  </si>
  <si>
    <t>FILTRAR(MATRIZ, COLUMNA = VALOR)</t>
  </si>
  <si>
    <t>(COLUMNA1 = VALOR1) * (COLUMNA2 &lt; VALOR2)</t>
  </si>
  <si>
    <t>Tienda</t>
  </si>
  <si>
    <t>Producto</t>
  </si>
  <si>
    <t>Departamento</t>
  </si>
  <si>
    <t>Categoría</t>
  </si>
  <si>
    <t>Precio</t>
  </si>
  <si>
    <t>Limpieza</t>
  </si>
  <si>
    <t>Abarrotes</t>
  </si>
  <si>
    <t>Farmacia</t>
  </si>
  <si>
    <t>Alimentos</t>
  </si>
  <si>
    <t>Bebidas</t>
  </si>
  <si>
    <t>Enlatados</t>
  </si>
  <si>
    <t>Personal</t>
  </si>
  <si>
    <t>Cocina</t>
  </si>
  <si>
    <t>Baños</t>
  </si>
  <si>
    <t>Pastillas</t>
  </si>
  <si>
    <t>Jarabes</t>
  </si>
  <si>
    <t>Inyecciones</t>
  </si>
  <si>
    <t>Maruchan</t>
  </si>
  <si>
    <t>Jugo de Mango</t>
  </si>
  <si>
    <t>Pasta de Dientes</t>
  </si>
  <si>
    <t>Jabón de Trastes</t>
  </si>
  <si>
    <t>Gel para Cabello</t>
  </si>
  <si>
    <t>Pato purific</t>
  </si>
  <si>
    <t>Esponja</t>
  </si>
  <si>
    <t>Arroz</t>
  </si>
  <si>
    <t>Agua mineral</t>
  </si>
  <si>
    <t>Papas</t>
  </si>
  <si>
    <t>Lata atún</t>
  </si>
  <si>
    <t>Lata de verduras</t>
  </si>
  <si>
    <t>Omeprazol</t>
  </si>
  <si>
    <t>Para la tos</t>
  </si>
  <si>
    <t>Para la fiebre</t>
  </si>
  <si>
    <t>Filtros</t>
  </si>
  <si>
    <t>FILTRAR(B6:E20,C6:C20="Aborrotes")</t>
  </si>
  <si>
    <t>C6:C20="Abarrotes"</t>
  </si>
  <si>
    <t>D6:D20="Alimentos"</t>
  </si>
  <si>
    <t>FILTRAR(B6:E20;I16:I30)</t>
  </si>
  <si>
    <t>MÁSCARA</t>
  </si>
  <si>
    <t>DEPARTAMENTO</t>
  </si>
  <si>
    <t>CATEGORÍA</t>
  </si>
  <si>
    <t>FÍSICA</t>
  </si>
  <si>
    <t>RELATIVA</t>
  </si>
  <si>
    <t>Proyección</t>
  </si>
  <si>
    <t>Índice</t>
  </si>
  <si>
    <t>DIRECCIÓN DE LA COLUMNA Y LA FILA DENTRO DE LA HOJA DE CÁLCULO</t>
  </si>
  <si>
    <t>ÍNDICE DE FILA Y UN ÍNDICE DE COLUMNA RELATIVA A LA MATRIZ DE DATOS</t>
  </si>
  <si>
    <t>1. Todos los abarrotes</t>
  </si>
  <si>
    <t>INDICE(MATRIZ, [FILA(s)], [COLUMNA(s))</t>
  </si>
  <si>
    <t>[COL I][FIL I]:[COL F][FIL F]</t>
  </si>
  <si>
    <t>BUSQUEDA</t>
  </si>
  <si>
    <t>COINCIDIR</t>
  </si>
  <si>
    <t>Devuelve la posición del primer valor encontrado en un rango columna</t>
  </si>
  <si>
    <t>E7</t>
  </si>
  <si>
    <t>E21</t>
  </si>
  <si>
    <t>E8</t>
  </si>
  <si>
    <t>1+1</t>
  </si>
  <si>
    <t>E9</t>
  </si>
  <si>
    <t>6 + 2</t>
  </si>
  <si>
    <t>E(7 + 8)</t>
  </si>
  <si>
    <t>1+8</t>
  </si>
  <si>
    <t>E(7 + 9)</t>
  </si>
  <si>
    <t>1+9</t>
  </si>
  <si>
    <t>1. Primera coincidencia</t>
  </si>
  <si>
    <t>COINCIDIR(K9;E7:E21;0)</t>
  </si>
  <si>
    <t>2. Siguientes coincidencias</t>
  </si>
  <si>
    <t>COINCIDIR($K$9;INDIRECTO("E"&amp;(7+J12)&amp;":E21"); 0)+J12</t>
  </si>
  <si>
    <t>E7 + ULTIMA COINCIDENCIA</t>
  </si>
  <si>
    <t>E &amp; (7 + J-) &amp; E21</t>
  </si>
  <si>
    <t>INDIRECTO</t>
  </si>
  <si>
    <t>INDIRECTO("E8:E21")</t>
  </si>
  <si>
    <t>E8:E21</t>
  </si>
  <si>
    <t>INDICE(D7:G21, J12, 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</si>
</sst>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[$$-80A]* #,##0.00_-;\-[$$-80A]* #,##0.00_-;_-[$$-80A]* &quot;-&quot;??_-;_-@_-"/>
  </numFmts>
  <fonts count="12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11"/>
      <color rgb="FF7030A0"/>
      <name val="Aptos Narrow"/>
      <family val="2"/>
      <scheme val="minor"/>
    </font>
    <font>
      <sz val="11"/>
      <color rgb="FF00B0F0"/>
      <name val="Aptos Narrow"/>
      <family val="2"/>
      <scheme val="minor"/>
    </font>
    <font>
      <sz val="11"/>
      <color theme="2" tint="-0.249977111117893"/>
      <name val="Aptos Narrow"/>
      <family val="2"/>
      <scheme val="minor"/>
    </font>
    <font>
      <sz val="11"/>
      <color theme="8"/>
      <name val="Aptos Narrow"/>
      <family val="2"/>
      <scheme val="minor"/>
    </font>
    <font>
      <sz val="11"/>
      <color theme="9"/>
      <name val="Aptos Narrow"/>
      <family val="2"/>
      <scheme val="minor"/>
    </font>
    <font>
      <sz val="11"/>
      <color theme="7"/>
      <name val="Aptos Narrow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79998168889431442"/>
        <bgColor indexed="64"/>
      </patternFill>
    </fill>
  </fills>
  <borders count="36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B2B2B2"/>
      </left>
      <right/>
      <top style="thin">
        <color rgb="FFB2B2B2"/>
      </top>
      <bottom style="thin">
        <color rgb="FFB2B2B2"/>
      </bottom>
      <diagonal/>
    </border>
    <border>
      <left/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B2B2B2"/>
      </left>
      <right/>
      <top style="thin">
        <color rgb="FFB2B2B2"/>
      </top>
      <bottom/>
      <diagonal/>
    </border>
    <border>
      <left/>
      <right/>
      <top style="thin">
        <color rgb="FFB2B2B2"/>
      </top>
      <bottom/>
      <diagonal/>
    </border>
    <border>
      <left/>
      <right style="thin">
        <color rgb="FFB2B2B2"/>
      </right>
      <top style="thin">
        <color rgb="FFB2B2B2"/>
      </top>
      <bottom/>
      <diagonal/>
    </border>
    <border>
      <left style="thin">
        <color rgb="FFB2B2B2"/>
      </left>
      <right/>
      <top/>
      <bottom style="thin">
        <color rgb="FFB2B2B2"/>
      </bottom>
      <diagonal/>
    </border>
    <border>
      <left/>
      <right/>
      <top/>
      <bottom style="thin">
        <color rgb="FFB2B2B2"/>
      </bottom>
      <diagonal/>
    </border>
    <border>
      <left/>
      <right style="thin">
        <color rgb="FFB2B2B2"/>
      </right>
      <top/>
      <bottom style="thin">
        <color rgb="FFB2B2B2"/>
      </bottom>
      <diagonal/>
    </border>
  </borders>
  <cellStyleXfs count="5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4" fillId="4" borderId="1" applyNumberFormat="0" applyAlignment="0" applyProtection="0"/>
    <xf numFmtId="0" fontId="1" fillId="5" borderId="2" applyNumberFormat="0" applyFont="0" applyAlignment="0" applyProtection="0"/>
  </cellStyleXfs>
  <cellXfs count="69">
    <xf numFmtId="0" fontId="0" fillId="0" borderId="0" xfId="0"/>
    <xf numFmtId="0" fontId="5" fillId="0" borderId="0" xfId="0" applyFont="1"/>
    <xf numFmtId="0" fontId="0" fillId="0" borderId="0" xfId="0" applyAlignment="1">
      <alignment horizontal="center"/>
    </xf>
    <xf numFmtId="0" fontId="4" fillId="4" borderId="1" xfId="3" applyAlignment="1">
      <alignment horizontal="left" wrapText="1"/>
    </xf>
    <xf numFmtId="0" fontId="2" fillId="2" borderId="0" xfId="1" applyAlignment="1">
      <alignment horizontal="center"/>
    </xf>
    <xf numFmtId="0" fontId="4" fillId="4" borderId="1" xfId="3" applyAlignment="1">
      <alignment horizontal="left" vertical="top" wrapText="1"/>
    </xf>
    <xf numFmtId="0" fontId="0" fillId="5" borderId="2" xfId="4" applyFont="1" applyAlignment="1">
      <alignment horizontal="left" vertical="top" wrapText="1"/>
    </xf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9" borderId="0" xfId="0" applyFill="1" applyAlignment="1">
      <alignment horizontal="center"/>
    </xf>
    <xf numFmtId="0" fontId="0" fillId="8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0" fillId="11" borderId="0" xfId="0" applyFill="1"/>
    <xf numFmtId="0" fontId="0" fillId="8" borderId="3" xfId="0" applyFill="1" applyBorder="1"/>
    <xf numFmtId="0" fontId="0" fillId="8" borderId="4" xfId="0" applyFill="1" applyBorder="1"/>
    <xf numFmtId="0" fontId="0" fillId="8" borderId="5" xfId="0" applyFill="1" applyBorder="1"/>
    <xf numFmtId="0" fontId="0" fillId="8" borderId="6" xfId="0" applyFill="1" applyBorder="1"/>
    <xf numFmtId="0" fontId="0" fillId="8" borderId="7" xfId="0" applyFill="1" applyBorder="1"/>
    <xf numFmtId="0" fontId="0" fillId="8" borderId="8" xfId="0" applyFill="1" applyBorder="1"/>
    <xf numFmtId="0" fontId="0" fillId="12" borderId="9" xfId="0" applyFill="1" applyBorder="1" applyAlignment="1">
      <alignment horizontal="center"/>
    </xf>
    <xf numFmtId="0" fontId="0" fillId="12" borderId="10" xfId="0" applyFill="1" applyBorder="1" applyAlignment="1">
      <alignment horizontal="center"/>
    </xf>
    <xf numFmtId="0" fontId="0" fillId="10" borderId="10" xfId="0" applyFill="1" applyBorder="1" applyAlignment="1">
      <alignment horizontal="center"/>
    </xf>
    <xf numFmtId="0" fontId="0" fillId="12" borderId="11" xfId="0" applyFill="1" applyBorder="1" applyAlignment="1">
      <alignment horizontal="center"/>
    </xf>
    <xf numFmtId="0" fontId="6" fillId="0" borderId="0" xfId="0" applyFont="1"/>
    <xf numFmtId="0" fontId="7" fillId="0" borderId="0" xfId="0" applyFont="1"/>
    <xf numFmtId="0" fontId="0" fillId="8" borderId="12" xfId="0" applyFill="1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0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164" fontId="0" fillId="0" borderId="15" xfId="0" applyNumberFormat="1" applyBorder="1"/>
    <xf numFmtId="164" fontId="0" fillId="0" borderId="17" xfId="0" applyNumberFormat="1" applyBorder="1"/>
    <xf numFmtId="164" fontId="0" fillId="0" borderId="20" xfId="0" applyNumberFormat="1" applyBorder="1"/>
    <xf numFmtId="0" fontId="0" fillId="8" borderId="12" xfId="0" applyFill="1" applyBorder="1" applyAlignment="1">
      <alignment horizontal="center"/>
    </xf>
    <xf numFmtId="0" fontId="0" fillId="5" borderId="21" xfId="4" applyFont="1" applyBorder="1" applyAlignment="1">
      <alignment horizontal="center"/>
    </xf>
    <xf numFmtId="0" fontId="0" fillId="5" borderId="22" xfId="4" applyFont="1" applyBorder="1" applyAlignment="1">
      <alignment horizontal="center"/>
    </xf>
    <xf numFmtId="0" fontId="0" fillId="5" borderId="23" xfId="4" applyFont="1" applyBorder="1" applyAlignment="1">
      <alignment horizontal="center"/>
    </xf>
    <xf numFmtId="0" fontId="3" fillId="3" borderId="0" xfId="2" applyAlignment="1">
      <alignment horizontal="center"/>
    </xf>
    <xf numFmtId="0" fontId="0" fillId="13" borderId="0" xfId="0" applyFill="1"/>
    <xf numFmtId="0" fontId="0" fillId="0" borderId="12" xfId="0" applyBorder="1"/>
    <xf numFmtId="0" fontId="8" fillId="0" borderId="12" xfId="0" applyFont="1" applyBorder="1"/>
    <xf numFmtId="0" fontId="0" fillId="0" borderId="24" xfId="0" applyBorder="1"/>
    <xf numFmtId="0" fontId="0" fillId="0" borderId="25" xfId="0" applyBorder="1"/>
    <xf numFmtId="0" fontId="0" fillId="0" borderId="26" xfId="0" applyBorder="1"/>
    <xf numFmtId="0" fontId="0" fillId="0" borderId="27" xfId="0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29" xfId="0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5" borderId="30" xfId="4" applyFont="1" applyBorder="1" applyAlignment="1">
      <alignment horizontal="left" vertical="top" wrapText="1"/>
    </xf>
    <xf numFmtId="0" fontId="0" fillId="5" borderId="31" xfId="4" applyFont="1" applyBorder="1" applyAlignment="1">
      <alignment horizontal="left" vertical="top" wrapText="1"/>
    </xf>
    <xf numFmtId="0" fontId="0" fillId="5" borderId="32" xfId="4" applyFont="1" applyBorder="1" applyAlignment="1">
      <alignment horizontal="left" vertical="top" wrapText="1"/>
    </xf>
    <xf numFmtId="0" fontId="0" fillId="5" borderId="33" xfId="4" applyFont="1" applyBorder="1" applyAlignment="1">
      <alignment horizontal="left" vertical="top" wrapText="1"/>
    </xf>
    <xf numFmtId="0" fontId="0" fillId="5" borderId="34" xfId="4" applyFont="1" applyBorder="1" applyAlignment="1">
      <alignment horizontal="left" vertical="top" wrapText="1"/>
    </xf>
    <xf numFmtId="0" fontId="0" fillId="5" borderId="35" xfId="4" applyFont="1" applyBorder="1" applyAlignment="1">
      <alignment horizontal="left" vertical="top" wrapText="1"/>
    </xf>
    <xf numFmtId="0" fontId="9" fillId="0" borderId="0" xfId="0" applyFont="1"/>
    <xf numFmtId="0" fontId="0" fillId="6" borderId="0" xfId="0" applyFill="1" applyAlignment="1">
      <alignment horizontal="center"/>
    </xf>
    <xf numFmtId="0" fontId="0" fillId="0" borderId="0" xfId="0" applyAlignment="1">
      <alignment horizontal="right"/>
    </xf>
    <xf numFmtId="0" fontId="0" fillId="8" borderId="24" xfId="0" applyFill="1" applyBorder="1"/>
    <xf numFmtId="0" fontId="10" fillId="0" borderId="0" xfId="0" applyFont="1"/>
    <xf numFmtId="0" fontId="11" fillId="0" borderId="0" xfId="0" applyFont="1"/>
  </cellXfs>
  <cellStyles count="5">
    <cellStyle name="Cálculo" xfId="3" builtinId="22"/>
    <cellStyle name="Incorrecto" xfId="1" builtinId="27"/>
    <cellStyle name="Neutral" xfId="2" builtinId="28"/>
    <cellStyle name="Normal" xfId="0" builtinId="0"/>
    <cellStyle name="Notas" xfId="4" builtinId="1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DF3836-93F3-48BE-AC4C-7B2AD718592B}">
  <dimension ref="B3:N42"/>
  <sheetViews>
    <sheetView topLeftCell="B25" zoomScale="160" zoomScaleNormal="160" workbookViewId="0">
      <selection activeCell="D34" sqref="D34:G34"/>
    </sheetView>
  </sheetViews>
  <sheetFormatPr baseColWidth="10" defaultRowHeight="15" x14ac:dyDescent="0.25"/>
  <cols>
    <col min="2" max="2" width="18.28515625" customWidth="1"/>
  </cols>
  <sheetData>
    <row r="3" spans="2:10" x14ac:dyDescent="0.25">
      <c r="B3" t="s">
        <v>0</v>
      </c>
    </row>
    <row r="5" spans="2:10" x14ac:dyDescent="0.25">
      <c r="D5" t="s">
        <v>4</v>
      </c>
    </row>
    <row r="6" spans="2:10" x14ac:dyDescent="0.25">
      <c r="B6" t="s">
        <v>1</v>
      </c>
      <c r="D6" s="1" t="s">
        <v>2</v>
      </c>
      <c r="E6" s="1" t="s">
        <v>3</v>
      </c>
    </row>
    <row r="8" spans="2:10" x14ac:dyDescent="0.25">
      <c r="D8" t="s">
        <v>5</v>
      </c>
    </row>
    <row r="9" spans="2:10" x14ac:dyDescent="0.25">
      <c r="D9" s="1" t="s">
        <v>2</v>
      </c>
      <c r="E9" s="1" t="s">
        <v>6</v>
      </c>
    </row>
    <row r="12" spans="2:10" x14ac:dyDescent="0.25">
      <c r="B12" t="s">
        <v>7</v>
      </c>
      <c r="D12" s="1" t="s">
        <v>2</v>
      </c>
      <c r="E12" s="1" t="s">
        <v>8</v>
      </c>
    </row>
    <row r="14" spans="2:10" x14ac:dyDescent="0.25">
      <c r="E14" s="3" t="s">
        <v>9</v>
      </c>
      <c r="F14" s="3"/>
      <c r="G14" s="3"/>
      <c r="H14" s="3"/>
      <c r="I14" s="3"/>
      <c r="J14" s="3"/>
    </row>
    <row r="15" spans="2:10" x14ac:dyDescent="0.25">
      <c r="E15" s="3"/>
      <c r="F15" s="3"/>
      <c r="G15" s="3"/>
      <c r="H15" s="3"/>
      <c r="I15" s="3"/>
      <c r="J15" s="3"/>
    </row>
    <row r="16" spans="2:10" x14ac:dyDescent="0.25">
      <c r="E16" s="3"/>
      <c r="F16" s="3"/>
      <c r="G16" s="3"/>
      <c r="H16" s="3"/>
      <c r="I16" s="3"/>
      <c r="J16" s="3"/>
    </row>
    <row r="18" spans="2:14" x14ac:dyDescent="0.25">
      <c r="E18" s="4" t="s">
        <v>10</v>
      </c>
      <c r="F18" s="4"/>
      <c r="G18" s="4"/>
      <c r="H18" s="4"/>
      <c r="I18" s="4"/>
      <c r="J18" s="4"/>
    </row>
    <row r="21" spans="2:14" x14ac:dyDescent="0.25">
      <c r="B21" t="s">
        <v>11</v>
      </c>
      <c r="D21" s="1" t="s">
        <v>2</v>
      </c>
      <c r="E21" s="1" t="s">
        <v>12</v>
      </c>
    </row>
    <row r="23" spans="2:14" x14ac:dyDescent="0.25">
      <c r="E23" s="5" t="s">
        <v>13</v>
      </c>
      <c r="F23" s="5"/>
      <c r="G23" s="5"/>
      <c r="H23" s="5"/>
      <c r="I23" s="5"/>
      <c r="J23" s="5"/>
      <c r="L23" s="9" t="s">
        <v>16</v>
      </c>
      <c r="M23">
        <v>100</v>
      </c>
    </row>
    <row r="24" spans="2:14" x14ac:dyDescent="0.25">
      <c r="E24" s="5"/>
      <c r="F24" s="5"/>
      <c r="G24" s="5"/>
      <c r="H24" s="5"/>
      <c r="I24" s="5"/>
      <c r="J24" s="5"/>
      <c r="L24" s="10" t="s">
        <v>17</v>
      </c>
      <c r="M24" s="8">
        <v>200</v>
      </c>
    </row>
    <row r="25" spans="2:14" x14ac:dyDescent="0.25">
      <c r="E25" s="5"/>
      <c r="F25" s="5"/>
      <c r="G25" s="5"/>
      <c r="H25" s="5"/>
      <c r="I25" s="5"/>
      <c r="J25" s="5"/>
      <c r="L25" s="9" t="s">
        <v>18</v>
      </c>
      <c r="M25">
        <v>300</v>
      </c>
    </row>
    <row r="28" spans="2:14" x14ac:dyDescent="0.25">
      <c r="B28" t="s">
        <v>14</v>
      </c>
      <c r="E28" s="6" t="s">
        <v>15</v>
      </c>
      <c r="F28" s="6"/>
      <c r="G28" s="6"/>
      <c r="H28" s="6"/>
      <c r="I28" s="6"/>
      <c r="J28" s="6"/>
      <c r="L28" s="12" t="s">
        <v>16</v>
      </c>
      <c r="M28" s="12" t="s">
        <v>17</v>
      </c>
      <c r="N28" s="11" t="s">
        <v>18</v>
      </c>
    </row>
    <row r="29" spans="2:14" x14ac:dyDescent="0.25">
      <c r="E29" s="6"/>
      <c r="F29" s="6"/>
      <c r="G29" s="6"/>
      <c r="H29" s="6"/>
      <c r="I29" s="6"/>
      <c r="J29" s="6"/>
      <c r="L29" s="2">
        <v>100</v>
      </c>
      <c r="M29" s="2">
        <v>200</v>
      </c>
      <c r="N29" s="13">
        <v>300</v>
      </c>
    </row>
    <row r="30" spans="2:14" x14ac:dyDescent="0.25">
      <c r="E30" s="6"/>
      <c r="F30" s="6"/>
      <c r="G30" s="6"/>
      <c r="H30" s="6"/>
      <c r="I30" s="6"/>
      <c r="J30" s="6"/>
    </row>
    <row r="34" spans="2:14" ht="15.75" thickBot="1" x14ac:dyDescent="0.3">
      <c r="B34" t="s">
        <v>19</v>
      </c>
      <c r="D34" s="1" t="s">
        <v>2</v>
      </c>
      <c r="E34" s="1" t="s">
        <v>20</v>
      </c>
    </row>
    <row r="35" spans="2:14" x14ac:dyDescent="0.25">
      <c r="L35" s="9" t="s">
        <v>16</v>
      </c>
      <c r="M35" s="9">
        <v>100</v>
      </c>
      <c r="N35" s="21">
        <v>1</v>
      </c>
    </row>
    <row r="36" spans="2:14" x14ac:dyDescent="0.25">
      <c r="E36" s="3" t="s">
        <v>21</v>
      </c>
      <c r="F36" s="3"/>
      <c r="G36" s="3"/>
      <c r="H36" s="3"/>
      <c r="I36" s="3"/>
      <c r="J36" s="3"/>
      <c r="L36" s="9" t="s">
        <v>17</v>
      </c>
      <c r="M36" s="9">
        <v>200</v>
      </c>
      <c r="N36" s="22">
        <v>1</v>
      </c>
    </row>
    <row r="37" spans="2:14" x14ac:dyDescent="0.25">
      <c r="E37" s="3"/>
      <c r="F37" s="3"/>
      <c r="G37" s="3"/>
      <c r="H37" s="3"/>
      <c r="I37" s="3"/>
      <c r="J37" s="3"/>
      <c r="L37" s="14" t="s">
        <v>18</v>
      </c>
      <c r="M37" s="14">
        <v>300</v>
      </c>
      <c r="N37" s="23">
        <v>0</v>
      </c>
    </row>
    <row r="38" spans="2:14" ht="15.75" thickBot="1" x14ac:dyDescent="0.3">
      <c r="L38" s="9" t="s">
        <v>22</v>
      </c>
      <c r="M38" s="9">
        <v>80</v>
      </c>
      <c r="N38" s="24">
        <v>1</v>
      </c>
    </row>
    <row r="39" spans="2:14" ht="15.75" thickBot="1" x14ac:dyDescent="0.3">
      <c r="F39" s="25" t="s">
        <v>2</v>
      </c>
      <c r="G39" s="25" t="s">
        <v>23</v>
      </c>
    </row>
    <row r="40" spans="2:14" x14ac:dyDescent="0.25">
      <c r="L40" s="15" t="s">
        <v>16</v>
      </c>
      <c r="M40" s="16">
        <v>100</v>
      </c>
    </row>
    <row r="41" spans="2:14" x14ac:dyDescent="0.25">
      <c r="G41" s="26" t="s">
        <v>24</v>
      </c>
      <c r="L41" s="17" t="s">
        <v>17</v>
      </c>
      <c r="M41" s="18">
        <v>200</v>
      </c>
    </row>
    <row r="42" spans="2:14" ht="15.75" thickBot="1" x14ac:dyDescent="0.3">
      <c r="L42" s="19" t="s">
        <v>22</v>
      </c>
      <c r="M42" s="20">
        <v>80</v>
      </c>
    </row>
  </sheetData>
  <mergeCells count="5">
    <mergeCell ref="E14:J16"/>
    <mergeCell ref="E18:J18"/>
    <mergeCell ref="E23:J25"/>
    <mergeCell ref="E28:J30"/>
    <mergeCell ref="E36:J37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36898D-53BE-45F2-8C7A-57FA7C83A73F}">
  <dimension ref="B3:N30"/>
  <sheetViews>
    <sheetView topLeftCell="A2" zoomScale="160" zoomScaleNormal="160" workbookViewId="0">
      <selection activeCell="B5" sqref="B5:E20"/>
    </sheetView>
  </sheetViews>
  <sheetFormatPr baseColWidth="10" defaultRowHeight="15" x14ac:dyDescent="0.25"/>
  <cols>
    <col min="2" max="2" width="17.5703125" customWidth="1"/>
    <col min="3" max="3" width="15" customWidth="1"/>
    <col min="7" max="7" width="20.85546875" customWidth="1"/>
    <col min="8" max="8" width="19.42578125" customWidth="1"/>
  </cols>
  <sheetData>
    <row r="3" spans="2:14" x14ac:dyDescent="0.25">
      <c r="B3" t="s">
        <v>25</v>
      </c>
      <c r="G3" s="25" t="s">
        <v>2</v>
      </c>
      <c r="H3" s="25" t="s">
        <v>20</v>
      </c>
    </row>
    <row r="5" spans="2:14" x14ac:dyDescent="0.25">
      <c r="B5" s="27" t="s">
        <v>26</v>
      </c>
      <c r="C5" s="27" t="s">
        <v>27</v>
      </c>
      <c r="D5" s="27" t="s">
        <v>28</v>
      </c>
      <c r="E5" s="40" t="s">
        <v>29</v>
      </c>
      <c r="G5" s="41" t="s">
        <v>57</v>
      </c>
      <c r="H5" s="42"/>
      <c r="I5" s="42"/>
      <c r="J5" s="42"/>
      <c r="K5" s="43"/>
    </row>
    <row r="6" spans="2:14" x14ac:dyDescent="0.25">
      <c r="B6" s="28" t="s">
        <v>42</v>
      </c>
      <c r="C6" s="29" t="s">
        <v>31</v>
      </c>
      <c r="D6" s="29" t="s">
        <v>33</v>
      </c>
      <c r="E6" s="37">
        <v>18</v>
      </c>
    </row>
    <row r="7" spans="2:14" x14ac:dyDescent="0.25">
      <c r="B7" s="31" t="s">
        <v>43</v>
      </c>
      <c r="C7" s="32" t="s">
        <v>31</v>
      </c>
      <c r="D7" s="32" t="s">
        <v>34</v>
      </c>
      <c r="E7" s="38">
        <v>24</v>
      </c>
      <c r="G7" t="s">
        <v>30</v>
      </c>
      <c r="H7" s="1" t="s">
        <v>2</v>
      </c>
      <c r="I7" s="1" t="s">
        <v>58</v>
      </c>
    </row>
    <row r="8" spans="2:14" x14ac:dyDescent="0.25">
      <c r="B8" s="31" t="s">
        <v>44</v>
      </c>
      <c r="C8" s="32" t="s">
        <v>30</v>
      </c>
      <c r="D8" s="32" t="s">
        <v>36</v>
      </c>
      <c r="E8" s="38">
        <v>30</v>
      </c>
    </row>
    <row r="9" spans="2:14" x14ac:dyDescent="0.25">
      <c r="B9" s="31" t="s">
        <v>45</v>
      </c>
      <c r="C9" s="32" t="s">
        <v>30</v>
      </c>
      <c r="D9" s="32" t="s">
        <v>37</v>
      </c>
      <c r="E9" s="38">
        <v>25</v>
      </c>
      <c r="H9" s="32" t="str" cm="1">
        <f t="array" ref="H9:K13">_xlfn._xlws.FILTER(B6:E20,C6:C20=G7)</f>
        <v>Pasta de Dientes</v>
      </c>
      <c r="I9" s="32" t="str">
        <v>Limpieza</v>
      </c>
      <c r="J9" s="32" t="str">
        <v>Personal</v>
      </c>
      <c r="K9" s="32">
        <v>30</v>
      </c>
    </row>
    <row r="10" spans="2:14" x14ac:dyDescent="0.25">
      <c r="B10" s="31" t="s">
        <v>46</v>
      </c>
      <c r="C10" s="32" t="s">
        <v>30</v>
      </c>
      <c r="D10" s="32" t="s">
        <v>36</v>
      </c>
      <c r="E10" s="38">
        <v>10</v>
      </c>
      <c r="H10" s="32" t="str">
        <v>Jabón de Trastes</v>
      </c>
      <c r="I10" s="32" t="str">
        <v>Limpieza</v>
      </c>
      <c r="J10" s="32" t="str">
        <v>Cocina</v>
      </c>
      <c r="K10" s="32">
        <v>25</v>
      </c>
    </row>
    <row r="11" spans="2:14" x14ac:dyDescent="0.25">
      <c r="B11" s="31" t="s">
        <v>47</v>
      </c>
      <c r="C11" s="32" t="s">
        <v>30</v>
      </c>
      <c r="D11" s="32" t="s">
        <v>38</v>
      </c>
      <c r="E11" s="38">
        <v>45</v>
      </c>
      <c r="H11" s="32" t="str">
        <v>Gel para Cabello</v>
      </c>
      <c r="I11" s="32" t="str">
        <v>Limpieza</v>
      </c>
      <c r="J11" s="32" t="str">
        <v>Personal</v>
      </c>
      <c r="K11" s="32">
        <v>10</v>
      </c>
    </row>
    <row r="12" spans="2:14" x14ac:dyDescent="0.25">
      <c r="B12" s="31" t="s">
        <v>48</v>
      </c>
      <c r="C12" s="32" t="s">
        <v>30</v>
      </c>
      <c r="D12" s="32" t="s">
        <v>38</v>
      </c>
      <c r="E12" s="38">
        <v>15</v>
      </c>
      <c r="H12" s="32" t="str">
        <v>Pato purific</v>
      </c>
      <c r="I12" s="32" t="str">
        <v>Limpieza</v>
      </c>
      <c r="J12" s="32" t="str">
        <v>Baños</v>
      </c>
      <c r="K12" s="32">
        <v>45</v>
      </c>
    </row>
    <row r="13" spans="2:14" x14ac:dyDescent="0.25">
      <c r="B13" s="31" t="s">
        <v>49</v>
      </c>
      <c r="C13" s="32" t="s">
        <v>31</v>
      </c>
      <c r="D13" s="32" t="s">
        <v>33</v>
      </c>
      <c r="E13" s="38">
        <v>20</v>
      </c>
      <c r="H13" s="32" t="str">
        <v>Esponja</v>
      </c>
      <c r="I13" s="32" t="str">
        <v>Limpieza</v>
      </c>
      <c r="J13" s="32" t="str">
        <v>Baños</v>
      </c>
      <c r="K13" s="32">
        <v>15</v>
      </c>
    </row>
    <row r="14" spans="2:14" x14ac:dyDescent="0.25">
      <c r="B14" s="31" t="s">
        <v>50</v>
      </c>
      <c r="C14" s="32" t="s">
        <v>31</v>
      </c>
      <c r="D14" s="32" t="s">
        <v>34</v>
      </c>
      <c r="E14" s="38">
        <v>22</v>
      </c>
      <c r="H14" s="32"/>
      <c r="I14" s="32"/>
      <c r="J14" s="32"/>
      <c r="K14" s="32"/>
    </row>
    <row r="15" spans="2:14" x14ac:dyDescent="0.25">
      <c r="B15" s="31" t="s">
        <v>51</v>
      </c>
      <c r="C15" s="32" t="s">
        <v>31</v>
      </c>
      <c r="D15" s="32" t="s">
        <v>33</v>
      </c>
      <c r="E15" s="38">
        <v>45</v>
      </c>
      <c r="G15" t="s">
        <v>59</v>
      </c>
      <c r="H15" t="s">
        <v>60</v>
      </c>
      <c r="I15" s="44" t="s">
        <v>62</v>
      </c>
      <c r="K15" t="s">
        <v>61</v>
      </c>
    </row>
    <row r="16" spans="2:14" x14ac:dyDescent="0.25">
      <c r="B16" s="31" t="s">
        <v>52</v>
      </c>
      <c r="C16" s="32" t="s">
        <v>31</v>
      </c>
      <c r="D16" s="32" t="s">
        <v>35</v>
      </c>
      <c r="E16" s="38">
        <v>21</v>
      </c>
      <c r="G16" t="b" cm="1">
        <f t="array" ref="G16:G30">C6:C20="Abarrotes"</f>
        <v>1</v>
      </c>
      <c r="H16" t="b" cm="1">
        <f t="array" ref="H16:H30">D6:D20="Alimentos"</f>
        <v>1</v>
      </c>
      <c r="I16" s="2">
        <f>G16*H16</f>
        <v>1</v>
      </c>
      <c r="K16" t="str" cm="1">
        <f t="array" ref="K16:N18">_xlfn._xlws.FILTER(B6:E20,I16:I30)</f>
        <v>Maruchan</v>
      </c>
      <c r="L16" t="str">
        <v>Abarrotes</v>
      </c>
      <c r="M16" t="str">
        <v>Alimentos</v>
      </c>
      <c r="N16">
        <v>18</v>
      </c>
    </row>
    <row r="17" spans="2:14" x14ac:dyDescent="0.25">
      <c r="B17" s="31" t="s">
        <v>53</v>
      </c>
      <c r="C17" s="32" t="s">
        <v>31</v>
      </c>
      <c r="D17" s="32" t="s">
        <v>35</v>
      </c>
      <c r="E17" s="38">
        <v>15</v>
      </c>
      <c r="G17" t="b">
        <v>1</v>
      </c>
      <c r="H17" t="b">
        <v>0</v>
      </c>
      <c r="I17" s="2">
        <f t="shared" ref="I17:I30" si="0">G17*H17</f>
        <v>0</v>
      </c>
      <c r="K17" t="str">
        <v>Arroz</v>
      </c>
      <c r="L17" t="str">
        <v>Abarrotes</v>
      </c>
      <c r="M17" t="str">
        <v>Alimentos</v>
      </c>
      <c r="N17">
        <v>20</v>
      </c>
    </row>
    <row r="18" spans="2:14" x14ac:dyDescent="0.25">
      <c r="B18" s="31" t="s">
        <v>54</v>
      </c>
      <c r="C18" s="32" t="s">
        <v>32</v>
      </c>
      <c r="D18" s="32" t="s">
        <v>39</v>
      </c>
      <c r="E18" s="38">
        <v>80</v>
      </c>
      <c r="G18" t="b">
        <v>0</v>
      </c>
      <c r="H18" t="b">
        <v>0</v>
      </c>
      <c r="I18" s="2">
        <f t="shared" si="0"/>
        <v>0</v>
      </c>
      <c r="K18" t="str">
        <v>Papas</v>
      </c>
      <c r="L18" t="str">
        <v>Abarrotes</v>
      </c>
      <c r="M18" t="str">
        <v>Alimentos</v>
      </c>
      <c r="N18">
        <v>45</v>
      </c>
    </row>
    <row r="19" spans="2:14" x14ac:dyDescent="0.25">
      <c r="B19" s="31" t="s">
        <v>55</v>
      </c>
      <c r="C19" s="32" t="s">
        <v>32</v>
      </c>
      <c r="D19" s="32" t="s">
        <v>40</v>
      </c>
      <c r="E19" s="38">
        <v>120</v>
      </c>
      <c r="G19" t="b">
        <v>0</v>
      </c>
      <c r="H19" t="b">
        <v>0</v>
      </c>
      <c r="I19" s="2">
        <f t="shared" si="0"/>
        <v>0</v>
      </c>
    </row>
    <row r="20" spans="2:14" x14ac:dyDescent="0.25">
      <c r="B20" s="34" t="s">
        <v>56</v>
      </c>
      <c r="C20" s="35" t="s">
        <v>32</v>
      </c>
      <c r="D20" s="35" t="s">
        <v>41</v>
      </c>
      <c r="E20" s="39">
        <v>250</v>
      </c>
      <c r="G20" t="b">
        <v>0</v>
      </c>
      <c r="H20" t="b">
        <v>0</v>
      </c>
      <c r="I20" s="2">
        <f t="shared" si="0"/>
        <v>0</v>
      </c>
    </row>
    <row r="21" spans="2:14" x14ac:dyDescent="0.25">
      <c r="G21" t="b">
        <v>0</v>
      </c>
      <c r="H21" t="b">
        <v>0</v>
      </c>
      <c r="I21" s="2">
        <f t="shared" si="0"/>
        <v>0</v>
      </c>
    </row>
    <row r="22" spans="2:14" x14ac:dyDescent="0.25">
      <c r="B22" t="s">
        <v>63</v>
      </c>
      <c r="C22" s="7" t="s">
        <v>32</v>
      </c>
      <c r="G22" t="b">
        <v>0</v>
      </c>
      <c r="H22" t="b">
        <v>0</v>
      </c>
      <c r="I22" s="2">
        <f t="shared" si="0"/>
        <v>0</v>
      </c>
    </row>
    <row r="23" spans="2:14" x14ac:dyDescent="0.25">
      <c r="B23" t="s">
        <v>64</v>
      </c>
      <c r="C23" s="45" t="s">
        <v>39</v>
      </c>
      <c r="G23" t="b">
        <v>1</v>
      </c>
      <c r="H23" t="b">
        <v>1</v>
      </c>
      <c r="I23" s="2">
        <f t="shared" si="0"/>
        <v>1</v>
      </c>
    </row>
    <row r="24" spans="2:14" x14ac:dyDescent="0.25">
      <c r="G24" t="b">
        <v>1</v>
      </c>
      <c r="H24" t="b">
        <v>0</v>
      </c>
      <c r="I24" s="2">
        <f t="shared" si="0"/>
        <v>0</v>
      </c>
    </row>
    <row r="25" spans="2:14" x14ac:dyDescent="0.25">
      <c r="B25" t="str" cm="1">
        <f t="array" ref="B25:E25">_xlfn._xlws.FILTER(B6:E20,(C6:C20=C22)*(D6:D20=C23), "Sin resultados")</f>
        <v>Omeprazol</v>
      </c>
      <c r="C25" t="str">
        <v>Farmacia</v>
      </c>
      <c r="D25" t="str">
        <v>Pastillas</v>
      </c>
      <c r="E25">
        <v>80</v>
      </c>
      <c r="G25" t="b">
        <v>1</v>
      </c>
      <c r="H25" t="b">
        <v>1</v>
      </c>
      <c r="I25" s="2">
        <f t="shared" si="0"/>
        <v>1</v>
      </c>
    </row>
    <row r="26" spans="2:14" x14ac:dyDescent="0.25">
      <c r="G26" t="b">
        <v>1</v>
      </c>
      <c r="H26" t="b">
        <v>0</v>
      </c>
      <c r="I26" s="2">
        <f t="shared" si="0"/>
        <v>0</v>
      </c>
    </row>
    <row r="27" spans="2:14" x14ac:dyDescent="0.25">
      <c r="G27" t="b">
        <v>1</v>
      </c>
      <c r="H27" t="b">
        <v>0</v>
      </c>
      <c r="I27" s="2">
        <f t="shared" si="0"/>
        <v>0</v>
      </c>
    </row>
    <row r="28" spans="2:14" x14ac:dyDescent="0.25">
      <c r="G28" t="b">
        <v>0</v>
      </c>
      <c r="H28" t="b">
        <v>0</v>
      </c>
      <c r="I28" s="2">
        <f t="shared" si="0"/>
        <v>0</v>
      </c>
    </row>
    <row r="29" spans="2:14" x14ac:dyDescent="0.25">
      <c r="G29" t="b">
        <v>0</v>
      </c>
      <c r="H29" t="b">
        <v>0</v>
      </c>
      <c r="I29" s="2">
        <f t="shared" si="0"/>
        <v>0</v>
      </c>
    </row>
    <row r="30" spans="2:14" x14ac:dyDescent="0.25">
      <c r="G30" t="b">
        <v>0</v>
      </c>
      <c r="H30" t="b">
        <v>0</v>
      </c>
      <c r="I30" s="2">
        <f t="shared" si="0"/>
        <v>0</v>
      </c>
    </row>
  </sheetData>
  <mergeCells count="1">
    <mergeCell ref="G5:K5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F1B2AF-81A5-4D74-B68A-2A28B8ACB7B1}">
  <dimension ref="B3:P32"/>
  <sheetViews>
    <sheetView zoomScale="130" zoomScaleNormal="130" workbookViewId="0">
      <selection activeCell="B6" sqref="B6:F22"/>
    </sheetView>
  </sheetViews>
  <sheetFormatPr baseColWidth="10" defaultRowHeight="15" x14ac:dyDescent="0.25"/>
  <cols>
    <col min="3" max="3" width="15.7109375" bestFit="1" customWidth="1"/>
    <col min="4" max="4" width="13.5703125" bestFit="1" customWidth="1"/>
    <col min="6" max="6" width="16.7109375" customWidth="1"/>
    <col min="8" max="8" width="17.140625" customWidth="1"/>
    <col min="13" max="13" width="18" customWidth="1"/>
  </cols>
  <sheetData>
    <row r="3" spans="2:16" x14ac:dyDescent="0.25">
      <c r="H3" t="s">
        <v>67</v>
      </c>
      <c r="M3" t="s">
        <v>68</v>
      </c>
    </row>
    <row r="5" spans="2:16" x14ac:dyDescent="0.25">
      <c r="H5" s="8" t="s">
        <v>65</v>
      </c>
      <c r="M5" s="9" t="s">
        <v>66</v>
      </c>
    </row>
    <row r="6" spans="2:16" ht="15" customHeight="1" x14ac:dyDescent="0.25">
      <c r="B6" t="s">
        <v>68</v>
      </c>
      <c r="C6" s="51">
        <v>1</v>
      </c>
      <c r="D6" s="52">
        <v>2</v>
      </c>
      <c r="E6" s="52">
        <v>3</v>
      </c>
      <c r="F6" s="53">
        <v>4</v>
      </c>
      <c r="H6" s="6" t="s">
        <v>69</v>
      </c>
      <c r="I6" s="6"/>
      <c r="J6" s="6"/>
      <c r="M6" s="57" t="s">
        <v>70</v>
      </c>
      <c r="N6" s="58"/>
      <c r="O6" s="59"/>
    </row>
    <row r="7" spans="2:16" x14ac:dyDescent="0.25">
      <c r="C7" s="47" t="s">
        <v>26</v>
      </c>
      <c r="D7" s="47" t="s">
        <v>27</v>
      </c>
      <c r="E7" s="47" t="s">
        <v>28</v>
      </c>
      <c r="F7" s="47" t="s">
        <v>29</v>
      </c>
      <c r="H7" s="6"/>
      <c r="I7" s="6"/>
      <c r="J7" s="6"/>
      <c r="M7" s="60"/>
      <c r="N7" s="61"/>
      <c r="O7" s="62"/>
    </row>
    <row r="8" spans="2:16" x14ac:dyDescent="0.25">
      <c r="B8" s="54">
        <v>1</v>
      </c>
      <c r="C8" s="28" t="s">
        <v>42</v>
      </c>
      <c r="D8" s="48" t="s">
        <v>31</v>
      </c>
      <c r="E8" s="48" t="s">
        <v>33</v>
      </c>
      <c r="F8" s="30">
        <v>18</v>
      </c>
    </row>
    <row r="9" spans="2:16" x14ac:dyDescent="0.25">
      <c r="B9" s="55">
        <v>2</v>
      </c>
      <c r="C9" s="31" t="s">
        <v>43</v>
      </c>
      <c r="D9" s="49" t="s">
        <v>31</v>
      </c>
      <c r="E9" s="49" t="s">
        <v>34</v>
      </c>
      <c r="F9" s="33">
        <v>24</v>
      </c>
      <c r="H9" s="63" t="s">
        <v>2</v>
      </c>
      <c r="I9" s="63" t="s">
        <v>73</v>
      </c>
      <c r="J9" s="63"/>
      <c r="M9" s="63" t="s">
        <v>2</v>
      </c>
      <c r="N9" s="63" t="s">
        <v>72</v>
      </c>
    </row>
    <row r="10" spans="2:16" x14ac:dyDescent="0.25">
      <c r="B10" s="55">
        <v>3</v>
      </c>
      <c r="C10" s="31" t="s">
        <v>44</v>
      </c>
      <c r="D10" s="49" t="s">
        <v>30</v>
      </c>
      <c r="E10" s="49" t="s">
        <v>36</v>
      </c>
      <c r="F10" s="33">
        <v>30</v>
      </c>
      <c r="H10" t="s">
        <v>71</v>
      </c>
    </row>
    <row r="11" spans="2:16" x14ac:dyDescent="0.25">
      <c r="B11" s="55">
        <v>4</v>
      </c>
      <c r="C11" s="31" t="s">
        <v>45</v>
      </c>
      <c r="D11" s="49" t="s">
        <v>30</v>
      </c>
      <c r="E11" s="49" t="s">
        <v>37</v>
      </c>
      <c r="F11" s="33">
        <v>25</v>
      </c>
    </row>
    <row r="12" spans="2:16" x14ac:dyDescent="0.25">
      <c r="B12" s="55">
        <v>5</v>
      </c>
      <c r="C12" s="31" t="s">
        <v>46</v>
      </c>
      <c r="D12" s="49" t="s">
        <v>30</v>
      </c>
      <c r="E12" s="49" t="s">
        <v>36</v>
      </c>
      <c r="F12" s="33">
        <v>10</v>
      </c>
      <c r="H12" t="str" cm="1">
        <f t="array" ref="H12:K12">C8:F8</f>
        <v>Maruchan</v>
      </c>
      <c r="I12" t="str">
        <v>Abarrotes</v>
      </c>
      <c r="J12" t="str">
        <v>Alimentos</v>
      </c>
      <c r="K12">
        <v>18</v>
      </c>
      <c r="M12" t="str" cm="1">
        <f t="array" ref="M12:P12">INDEX($C$8:$F$22,1,0)</f>
        <v>Maruchan</v>
      </c>
      <c r="N12" t="str">
        <v>Abarrotes</v>
      </c>
      <c r="O12" t="str">
        <v>Alimentos</v>
      </c>
      <c r="P12">
        <v>18</v>
      </c>
    </row>
    <row r="13" spans="2:16" x14ac:dyDescent="0.25">
      <c r="B13" s="55">
        <v>6</v>
      </c>
      <c r="C13" s="31" t="s">
        <v>47</v>
      </c>
      <c r="D13" s="49" t="s">
        <v>30</v>
      </c>
      <c r="E13" s="49" t="s">
        <v>38</v>
      </c>
      <c r="F13" s="33">
        <v>45</v>
      </c>
      <c r="H13" t="str" cm="1">
        <f t="array" ref="H13:K13">C9:F9</f>
        <v>Jugo de Mango</v>
      </c>
      <c r="I13" t="str">
        <v>Abarrotes</v>
      </c>
      <c r="J13" t="str">
        <v>Bebidas</v>
      </c>
      <c r="K13">
        <v>24</v>
      </c>
      <c r="M13" t="str" cm="1">
        <f t="array" ref="M13:P13">INDEX(C8:F22,2,0)</f>
        <v>Jugo de Mango</v>
      </c>
      <c r="N13" t="str">
        <v>Abarrotes</v>
      </c>
      <c r="O13" t="str">
        <v>Bebidas</v>
      </c>
      <c r="P13">
        <v>24</v>
      </c>
    </row>
    <row r="14" spans="2:16" x14ac:dyDescent="0.25">
      <c r="B14" s="55">
        <v>7</v>
      </c>
      <c r="C14" s="31" t="s">
        <v>48</v>
      </c>
      <c r="D14" s="49" t="s">
        <v>30</v>
      </c>
      <c r="E14" s="49" t="s">
        <v>38</v>
      </c>
      <c r="F14" s="33">
        <v>15</v>
      </c>
      <c r="H14" t="str" cm="1">
        <f t="array" ref="H14:K14">C15:F15</f>
        <v>Arroz</v>
      </c>
      <c r="I14" t="str">
        <v>Abarrotes</v>
      </c>
      <c r="J14" t="str">
        <v>Alimentos</v>
      </c>
      <c r="K14">
        <v>20</v>
      </c>
      <c r="M14" t="str" cm="1">
        <f t="array" ref="M14:P14">INDEX(C8:F22,8,0)</f>
        <v>Arroz</v>
      </c>
      <c r="N14" t="str">
        <v>Abarrotes</v>
      </c>
      <c r="O14" t="str">
        <v>Alimentos</v>
      </c>
      <c r="P14">
        <v>20</v>
      </c>
    </row>
    <row r="15" spans="2:16" x14ac:dyDescent="0.25">
      <c r="B15" s="55">
        <v>8</v>
      </c>
      <c r="C15" s="31" t="s">
        <v>49</v>
      </c>
      <c r="D15" s="49" t="s">
        <v>31</v>
      </c>
      <c r="E15" s="49" t="s">
        <v>33</v>
      </c>
      <c r="F15" s="33">
        <v>20</v>
      </c>
      <c r="H15" t="str" cm="1">
        <f t="array" ref="H15:K15">C16:F16</f>
        <v>Agua mineral</v>
      </c>
      <c r="I15" t="str">
        <v>Abarrotes</v>
      </c>
      <c r="J15" t="str">
        <v>Bebidas</v>
      </c>
      <c r="K15">
        <v>22</v>
      </c>
      <c r="M15" t="str" cm="1">
        <f t="array" ref="M15:P15">INDEX(C8:F22,9,0)</f>
        <v>Agua mineral</v>
      </c>
      <c r="N15" t="str">
        <v>Abarrotes</v>
      </c>
      <c r="O15" t="str">
        <v>Bebidas</v>
      </c>
      <c r="P15">
        <v>22</v>
      </c>
    </row>
    <row r="16" spans="2:16" x14ac:dyDescent="0.25">
      <c r="B16" s="55">
        <v>9</v>
      </c>
      <c r="C16" s="31" t="s">
        <v>50</v>
      </c>
      <c r="D16" s="49" t="s">
        <v>31</v>
      </c>
      <c r="E16" s="49" t="s">
        <v>34</v>
      </c>
      <c r="F16" s="33">
        <v>22</v>
      </c>
      <c r="H16" t="str" cm="1">
        <f t="array" ref="H16:K16">C17:F17</f>
        <v>Papas</v>
      </c>
      <c r="I16" t="str">
        <v>Abarrotes</v>
      </c>
      <c r="J16" t="str">
        <v>Alimentos</v>
      </c>
      <c r="K16">
        <v>45</v>
      </c>
      <c r="M16" t="str" cm="1">
        <f t="array" ref="M16:P16">INDEX(C8:F22,10,0)</f>
        <v>Papas</v>
      </c>
      <c r="N16" t="str">
        <v>Abarrotes</v>
      </c>
      <c r="O16" t="str">
        <v>Alimentos</v>
      </c>
      <c r="P16">
        <v>45</v>
      </c>
    </row>
    <row r="17" spans="2:16" x14ac:dyDescent="0.25">
      <c r="B17" s="55">
        <v>10</v>
      </c>
      <c r="C17" s="31" t="s">
        <v>51</v>
      </c>
      <c r="D17" s="49" t="s">
        <v>31</v>
      </c>
      <c r="E17" s="49" t="s">
        <v>33</v>
      </c>
      <c r="F17" s="33">
        <v>45</v>
      </c>
      <c r="H17" t="str" cm="1">
        <f t="array" ref="H17:K17">C18:F18</f>
        <v>Lata atún</v>
      </c>
      <c r="I17" t="str">
        <v>Abarrotes</v>
      </c>
      <c r="J17" t="str">
        <v>Enlatados</v>
      </c>
      <c r="K17">
        <v>21</v>
      </c>
      <c r="M17" t="str" cm="1">
        <f t="array" ref="M17:P17">INDEX(C8:F22,11,0)</f>
        <v>Lata atún</v>
      </c>
      <c r="N17" t="str">
        <v>Abarrotes</v>
      </c>
      <c r="O17" t="str">
        <v>Enlatados</v>
      </c>
      <c r="P17">
        <v>21</v>
      </c>
    </row>
    <row r="18" spans="2:16" x14ac:dyDescent="0.25">
      <c r="B18" s="55">
        <v>11</v>
      </c>
      <c r="C18" s="31" t="s">
        <v>52</v>
      </c>
      <c r="D18" s="49" t="s">
        <v>31</v>
      </c>
      <c r="E18" s="49" t="s">
        <v>35</v>
      </c>
      <c r="F18" s="33">
        <v>21</v>
      </c>
      <c r="H18" t="str" cm="1">
        <f t="array" ref="H18:K18">C19:F19</f>
        <v>Lata de verduras</v>
      </c>
      <c r="I18" t="str">
        <v>Abarrotes</v>
      </c>
      <c r="J18" t="str">
        <v>Enlatados</v>
      </c>
      <c r="K18">
        <v>15</v>
      </c>
      <c r="M18" t="str" cm="1">
        <f t="array" ref="M18:P18">INDEX(C8:F22,12,0)</f>
        <v>Lata de verduras</v>
      </c>
      <c r="N18" t="str">
        <v>Abarrotes</v>
      </c>
      <c r="O18" t="str">
        <v>Enlatados</v>
      </c>
      <c r="P18">
        <v>15</v>
      </c>
    </row>
    <row r="19" spans="2:16" x14ac:dyDescent="0.25">
      <c r="B19" s="55">
        <v>12</v>
      </c>
      <c r="C19" s="31" t="s">
        <v>53</v>
      </c>
      <c r="D19" s="49" t="s">
        <v>31</v>
      </c>
      <c r="E19" s="49" t="s">
        <v>35</v>
      </c>
      <c r="F19" s="33">
        <v>15</v>
      </c>
    </row>
    <row r="20" spans="2:16" x14ac:dyDescent="0.25">
      <c r="B20" s="55">
        <v>13</v>
      </c>
      <c r="C20" s="31" t="s">
        <v>54</v>
      </c>
      <c r="D20" s="49" t="s">
        <v>32</v>
      </c>
      <c r="E20" s="49" t="s">
        <v>39</v>
      </c>
      <c r="F20" s="33">
        <v>80</v>
      </c>
      <c r="H20" t="str" cm="1">
        <f t="array" ref="H20:K21">C8:F9</f>
        <v>Maruchan</v>
      </c>
      <c r="I20" t="str">
        <v>Abarrotes</v>
      </c>
      <c r="J20" t="str">
        <v>Alimentos</v>
      </c>
      <c r="K20">
        <v>18</v>
      </c>
      <c r="M20" t="str" cm="1">
        <f t="array" ref="M20:M26">TRANSPOSE(INDEX(C8:F22, {1,2,8,9,10,11,12}, 1))</f>
        <v>Maruchan</v>
      </c>
      <c r="N20" t="str" cm="1">
        <f t="array" ref="N20:N26">TRANSPOSE(INDEX(C8:F22, {1,2,8,9,10,11,12}, 2))</f>
        <v>Abarrotes</v>
      </c>
      <c r="O20" t="str" cm="1">
        <f t="array" ref="O20:O26">TRANSPOSE(INDEX(C8:F22, {1,2,8,9,10,11,12}, 3))</f>
        <v>Alimentos</v>
      </c>
      <c r="P20" cm="1">
        <f t="array" ref="P20:P26">TRANSPOSE(INDEX(C8:F22, {1,2,8,9,10,11,12}, 4))</f>
        <v>18</v>
      </c>
    </row>
    <row r="21" spans="2:16" x14ac:dyDescent="0.25">
      <c r="B21" s="55">
        <v>14</v>
      </c>
      <c r="C21" s="31" t="s">
        <v>55</v>
      </c>
      <c r="D21" s="49" t="s">
        <v>32</v>
      </c>
      <c r="E21" s="49" t="s">
        <v>40</v>
      </c>
      <c r="F21" s="33">
        <v>120</v>
      </c>
      <c r="H21" t="str">
        <v>Jugo de Mango</v>
      </c>
      <c r="I21" t="str">
        <v>Abarrotes</v>
      </c>
      <c r="J21" t="str">
        <v>Bebidas</v>
      </c>
      <c r="K21">
        <v>24</v>
      </c>
      <c r="M21" t="str">
        <v>Jugo de Mango</v>
      </c>
      <c r="N21" t="str">
        <v>Abarrotes</v>
      </c>
      <c r="O21" t="str">
        <v>Bebidas</v>
      </c>
      <c r="P21">
        <v>24</v>
      </c>
    </row>
    <row r="22" spans="2:16" x14ac:dyDescent="0.25">
      <c r="B22" s="56">
        <v>15</v>
      </c>
      <c r="C22" s="34" t="s">
        <v>56</v>
      </c>
      <c r="D22" s="50" t="s">
        <v>32</v>
      </c>
      <c r="E22" s="50" t="s">
        <v>41</v>
      </c>
      <c r="F22" s="36">
        <v>250</v>
      </c>
      <c r="H22" t="str" cm="1">
        <f t="array" ref="H22:K26">C15:F19</f>
        <v>Arroz</v>
      </c>
      <c r="I22" t="str">
        <v>Abarrotes</v>
      </c>
      <c r="J22" t="str">
        <v>Alimentos</v>
      </c>
      <c r="K22">
        <v>20</v>
      </c>
      <c r="M22" t="str">
        <v>Arroz</v>
      </c>
      <c r="N22" t="str">
        <v>Abarrotes</v>
      </c>
      <c r="O22" t="str">
        <v>Alimentos</v>
      </c>
      <c r="P22">
        <v>20</v>
      </c>
    </row>
    <row r="23" spans="2:16" x14ac:dyDescent="0.25">
      <c r="H23" t="str">
        <v>Agua mineral</v>
      </c>
      <c r="I23" t="str">
        <v>Abarrotes</v>
      </c>
      <c r="J23" t="str">
        <v>Bebidas</v>
      </c>
      <c r="K23">
        <v>22</v>
      </c>
      <c r="M23" t="str">
        <v>Agua mineral</v>
      </c>
      <c r="N23" t="str">
        <v>Abarrotes</v>
      </c>
      <c r="O23" t="str">
        <v>Bebidas</v>
      </c>
      <c r="P23">
        <v>22</v>
      </c>
    </row>
    <row r="24" spans="2:16" x14ac:dyDescent="0.25">
      <c r="H24" t="str">
        <v>Papas</v>
      </c>
      <c r="I24" t="str">
        <v>Abarrotes</v>
      </c>
      <c r="J24" t="str">
        <v>Alimentos</v>
      </c>
      <c r="K24">
        <v>45</v>
      </c>
      <c r="M24" t="str">
        <v>Papas</v>
      </c>
      <c r="N24" t="str">
        <v>Abarrotes</v>
      </c>
      <c r="O24" t="str">
        <v>Alimentos</v>
      </c>
      <c r="P24">
        <v>45</v>
      </c>
    </row>
    <row r="25" spans="2:16" x14ac:dyDescent="0.25">
      <c r="B25" t="s">
        <v>74</v>
      </c>
      <c r="H25" t="str">
        <v>Lata atún</v>
      </c>
      <c r="I25" t="str">
        <v>Abarrotes</v>
      </c>
      <c r="J25" t="str">
        <v>Enlatados</v>
      </c>
      <c r="K25">
        <v>21</v>
      </c>
      <c r="M25" t="str">
        <v>Lata atún</v>
      </c>
      <c r="N25" t="str">
        <v>Abarrotes</v>
      </c>
      <c r="O25" t="str">
        <v>Enlatados</v>
      </c>
      <c r="P25">
        <v>21</v>
      </c>
    </row>
    <row r="26" spans="2:16" x14ac:dyDescent="0.25">
      <c r="B26" cm="1">
        <f t="array" ref="B26:B32">_xlfn._xlws.FILTER(B8:B22,D8:D22="Abarrotes")</f>
        <v>1</v>
      </c>
      <c r="C26" t="str" cm="1">
        <f t="array" ref="C26:F26">INDEX($C$8:$F$22,B26,0)</f>
        <v>Maruchan</v>
      </c>
      <c r="D26" t="str">
        <v>Abarrotes</v>
      </c>
      <c r="E26" t="str">
        <v>Alimentos</v>
      </c>
      <c r="F26">
        <v>18</v>
      </c>
      <c r="H26" t="str">
        <v>Lata de verduras</v>
      </c>
      <c r="I26" t="str">
        <v>Abarrotes</v>
      </c>
      <c r="J26" t="str">
        <v>Enlatados</v>
      </c>
      <c r="K26">
        <v>15</v>
      </c>
      <c r="M26" t="str">
        <v>Lata de verduras</v>
      </c>
      <c r="N26" t="str">
        <v>Abarrotes</v>
      </c>
      <c r="O26" t="str">
        <v>Enlatados</v>
      </c>
      <c r="P26">
        <v>15</v>
      </c>
    </row>
    <row r="27" spans="2:16" x14ac:dyDescent="0.25">
      <c r="B27">
        <v>2</v>
      </c>
      <c r="C27" t="str" cm="1">
        <f t="array" ref="C27:F27">INDEX($C$8:$F$22,B27,0)</f>
        <v>Jugo de Mango</v>
      </c>
      <c r="D27" t="str">
        <v>Abarrotes</v>
      </c>
      <c r="E27" t="str">
        <v>Bebidas</v>
      </c>
      <c r="F27">
        <v>24</v>
      </c>
    </row>
    <row r="28" spans="2:16" x14ac:dyDescent="0.25">
      <c r="B28">
        <v>8</v>
      </c>
      <c r="C28" t="str" cm="1">
        <f t="array" ref="C28:F28">INDEX($C$8:$F$22,B28,0)</f>
        <v>Arroz</v>
      </c>
      <c r="D28" t="str">
        <v>Abarrotes</v>
      </c>
      <c r="E28" t="str">
        <v>Alimentos</v>
      </c>
      <c r="F28">
        <v>20</v>
      </c>
    </row>
    <row r="29" spans="2:16" x14ac:dyDescent="0.25">
      <c r="B29">
        <v>9</v>
      </c>
      <c r="C29" t="str" cm="1">
        <f t="array" ref="C29:F29">INDEX($C$8:$F$22,B29,0)</f>
        <v>Agua mineral</v>
      </c>
      <c r="D29" t="str">
        <v>Abarrotes</v>
      </c>
      <c r="E29" t="str">
        <v>Bebidas</v>
      </c>
      <c r="F29">
        <v>22</v>
      </c>
    </row>
    <row r="30" spans="2:16" x14ac:dyDescent="0.25">
      <c r="B30">
        <v>10</v>
      </c>
      <c r="C30" t="str" cm="1">
        <f t="array" ref="C30:F30">INDEX($C$8:$F$22,B30,0)</f>
        <v>Papas</v>
      </c>
      <c r="D30" t="str">
        <v>Abarrotes</v>
      </c>
      <c r="E30" t="str">
        <v>Alimentos</v>
      </c>
      <c r="F30">
        <v>45</v>
      </c>
    </row>
    <row r="31" spans="2:16" x14ac:dyDescent="0.25">
      <c r="B31">
        <v>11</v>
      </c>
      <c r="C31" t="str" cm="1">
        <f t="array" ref="C31:F31">INDEX($C$8:$F$22,B31,0)</f>
        <v>Lata atún</v>
      </c>
      <c r="D31" t="str">
        <v>Abarrotes</v>
      </c>
      <c r="E31" t="str">
        <v>Enlatados</v>
      </c>
      <c r="F31">
        <v>21</v>
      </c>
    </row>
    <row r="32" spans="2:16" x14ac:dyDescent="0.25">
      <c r="B32">
        <v>12</v>
      </c>
      <c r="C32" t="str" cm="1">
        <f t="array" ref="C32:F32">INDEX($C$8:$F$22,B32,0)</f>
        <v>Lata de verduras</v>
      </c>
      <c r="D32" t="str">
        <v>Abarrotes</v>
      </c>
      <c r="E32" t="str">
        <v>Enlatados</v>
      </c>
      <c r="F32">
        <v>15</v>
      </c>
    </row>
  </sheetData>
  <mergeCells count="2">
    <mergeCell ref="H6:J7"/>
    <mergeCell ref="M6:O7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F1471-3B96-4DB1-9913-7A2485000F19}">
  <dimension ref="C5:P43"/>
  <sheetViews>
    <sheetView tabSelected="1" topLeftCell="A3" zoomScale="130" zoomScaleNormal="130" workbookViewId="0">
      <selection activeCell="P12" sqref="P12"/>
    </sheetView>
  </sheetViews>
  <sheetFormatPr baseColWidth="10" defaultRowHeight="15" x14ac:dyDescent="0.25"/>
  <cols>
    <col min="4" max="4" width="15.7109375" bestFit="1" customWidth="1"/>
    <col min="5" max="5" width="13.5703125" bestFit="1" customWidth="1"/>
    <col min="9" max="9" width="14.7109375" customWidth="1"/>
    <col min="11" max="11" width="13.42578125" customWidth="1"/>
  </cols>
  <sheetData>
    <row r="5" spans="3:14" x14ac:dyDescent="0.25">
      <c r="C5" s="2" t="s">
        <v>68</v>
      </c>
      <c r="D5" s="51">
        <v>1</v>
      </c>
      <c r="E5" s="52">
        <v>2</v>
      </c>
      <c r="F5" s="52">
        <v>3</v>
      </c>
      <c r="G5" s="53">
        <v>4</v>
      </c>
    </row>
    <row r="6" spans="3:14" x14ac:dyDescent="0.25">
      <c r="C6" s="2"/>
      <c r="D6" s="46" t="s">
        <v>26</v>
      </c>
      <c r="E6" s="46" t="s">
        <v>27</v>
      </c>
      <c r="F6" s="46" t="s">
        <v>28</v>
      </c>
      <c r="G6" s="46" t="s">
        <v>29</v>
      </c>
    </row>
    <row r="7" spans="3:14" x14ac:dyDescent="0.25">
      <c r="C7" s="54">
        <v>1</v>
      </c>
      <c r="D7" s="28" t="s">
        <v>42</v>
      </c>
      <c r="E7" s="29" t="s">
        <v>31</v>
      </c>
      <c r="F7" s="29" t="s">
        <v>33</v>
      </c>
      <c r="G7" s="30">
        <v>18</v>
      </c>
      <c r="I7" t="s">
        <v>75</v>
      </c>
      <c r="K7" t="s">
        <v>76</v>
      </c>
    </row>
    <row r="8" spans="3:14" x14ac:dyDescent="0.25">
      <c r="C8" s="55">
        <v>2</v>
      </c>
      <c r="D8" s="31" t="s">
        <v>43</v>
      </c>
      <c r="E8" s="32" t="s">
        <v>31</v>
      </c>
      <c r="F8" s="32" t="s">
        <v>34</v>
      </c>
      <c r="G8" s="33">
        <v>24</v>
      </c>
    </row>
    <row r="9" spans="3:14" x14ac:dyDescent="0.25">
      <c r="C9" s="55">
        <v>3</v>
      </c>
      <c r="D9" s="31" t="s">
        <v>44</v>
      </c>
      <c r="E9" s="32" t="s">
        <v>30</v>
      </c>
      <c r="F9" s="32" t="s">
        <v>36</v>
      </c>
      <c r="G9" s="33">
        <v>30</v>
      </c>
      <c r="I9" t="s">
        <v>27</v>
      </c>
      <c r="K9" s="64" t="s">
        <v>32</v>
      </c>
      <c r="L9" s="2">
        <v>1</v>
      </c>
    </row>
    <row r="10" spans="3:14" x14ac:dyDescent="0.25">
      <c r="C10" s="55">
        <v>4</v>
      </c>
      <c r="D10" s="31" t="s">
        <v>45</v>
      </c>
      <c r="E10" s="32" t="s">
        <v>30</v>
      </c>
      <c r="F10" s="32" t="s">
        <v>37</v>
      </c>
      <c r="G10" s="33">
        <v>25</v>
      </c>
      <c r="K10" s="12">
        <f>MATCH(K9,E7:E21,0)</f>
        <v>13</v>
      </c>
      <c r="M10" s="68" t="s">
        <v>2</v>
      </c>
      <c r="N10" s="68" t="s">
        <v>96</v>
      </c>
    </row>
    <row r="11" spans="3:14" x14ac:dyDescent="0.25">
      <c r="C11" s="55">
        <v>5</v>
      </c>
      <c r="D11" s="31" t="s">
        <v>46</v>
      </c>
      <c r="E11" s="32" t="s">
        <v>30</v>
      </c>
      <c r="F11" s="32" t="s">
        <v>36</v>
      </c>
      <c r="G11" s="33">
        <v>10</v>
      </c>
    </row>
    <row r="12" spans="3:14" x14ac:dyDescent="0.25">
      <c r="C12" s="55">
        <v>6</v>
      </c>
      <c r="D12" s="31" t="s">
        <v>47</v>
      </c>
      <c r="E12" s="32" t="s">
        <v>30</v>
      </c>
      <c r="F12" s="32" t="s">
        <v>38</v>
      </c>
      <c r="G12" s="33">
        <v>45</v>
      </c>
      <c r="I12" s="48">
        <v>1</v>
      </c>
      <c r="J12" s="66">
        <f>MATCH(K9,E7:E21,0)</f>
        <v>13</v>
      </c>
      <c r="K12" s="29" t="str" cm="1">
        <f t="array" ref="K12:N12">IFERROR(INDEX($D$7:$G$21,J12,0),"")</f>
        <v>Omeprazol</v>
      </c>
      <c r="L12" s="29" t="str">
        <v>Farmacia</v>
      </c>
      <c r="M12" s="29" t="str">
        <v>Pastillas</v>
      </c>
      <c r="N12" s="30">
        <v>80</v>
      </c>
    </row>
    <row r="13" spans="3:14" x14ac:dyDescent="0.25">
      <c r="C13" s="55">
        <v>7</v>
      </c>
      <c r="D13" s="31" t="s">
        <v>48</v>
      </c>
      <c r="E13" s="32" t="s">
        <v>30</v>
      </c>
      <c r="F13" s="32" t="s">
        <v>38</v>
      </c>
      <c r="G13" s="33">
        <v>15</v>
      </c>
      <c r="I13" s="49">
        <v>2</v>
      </c>
      <c r="J13" s="49">
        <f ca="1">IFERROR(MATCH($K$9,INDIRECT("E"&amp;(7+J12)&amp;":E21"), 0)+J12, "")</f>
        <v>14</v>
      </c>
      <c r="K13" s="32" t="str" cm="1">
        <f t="array" aca="1" ref="K13:N13" ca="1">IFERROR(INDEX($D$7:$G$21,J13,0),"")</f>
        <v>Para la tos</v>
      </c>
      <c r="L13" s="32" t="str">
        <f ca="1"/>
        <v>Farmacia</v>
      </c>
      <c r="M13" s="32" t="str">
        <f ca="1"/>
        <v>Jarabes</v>
      </c>
      <c r="N13" s="33">
        <f ca="1"/>
        <v>120</v>
      </c>
    </row>
    <row r="14" spans="3:14" x14ac:dyDescent="0.25">
      <c r="C14" s="55">
        <v>8</v>
      </c>
      <c r="D14" s="31" t="s">
        <v>49</v>
      </c>
      <c r="E14" s="32" t="s">
        <v>31</v>
      </c>
      <c r="F14" s="32" t="s">
        <v>33</v>
      </c>
      <c r="G14" s="33">
        <v>20</v>
      </c>
      <c r="I14" s="49">
        <v>3</v>
      </c>
      <c r="J14" s="49">
        <f t="shared" ref="J14:J21" ca="1" si="0">IFERROR(MATCH($K$9,INDIRECT("E"&amp;(7+J13)&amp;":E21"), 0)+J13, "")</f>
        <v>15</v>
      </c>
      <c r="K14" s="32" t="str" cm="1">
        <f t="array" aca="1" ref="K14:N14" ca="1">IFERROR(INDEX($D$7:$G$21,J14,0),"")</f>
        <v>Para la fiebre</v>
      </c>
      <c r="L14" s="32" t="str">
        <f ca="1"/>
        <v>Farmacia</v>
      </c>
      <c r="M14" s="32" t="str">
        <f ca="1"/>
        <v>Inyecciones</v>
      </c>
      <c r="N14" s="33">
        <f ca="1"/>
        <v>250</v>
      </c>
    </row>
    <row r="15" spans="3:14" x14ac:dyDescent="0.25">
      <c r="C15" s="55">
        <v>9</v>
      </c>
      <c r="D15" s="31" t="s">
        <v>50</v>
      </c>
      <c r="E15" s="32" t="s">
        <v>31</v>
      </c>
      <c r="F15" s="32" t="s">
        <v>34</v>
      </c>
      <c r="G15" s="33">
        <v>22</v>
      </c>
      <c r="I15" s="49">
        <v>4</v>
      </c>
      <c r="J15" s="49">
        <f t="shared" ca="1" si="0"/>
        <v>16</v>
      </c>
      <c r="K15" s="32" t="str" cm="1">
        <f t="array" aca="1" ref="K15" ca="1">IFERROR(INDEX($D$7:$G$21,J15,0),"")</f>
        <v/>
      </c>
      <c r="L15" s="32"/>
      <c r="M15" s="32"/>
      <c r="N15" s="33"/>
    </row>
    <row r="16" spans="3:14" x14ac:dyDescent="0.25">
      <c r="C16" s="55">
        <v>10</v>
      </c>
      <c r="D16" s="31" t="s">
        <v>51</v>
      </c>
      <c r="E16" s="32" t="s">
        <v>31</v>
      </c>
      <c r="F16" s="32" t="s">
        <v>33</v>
      </c>
      <c r="G16" s="33">
        <v>45</v>
      </c>
      <c r="I16" s="49">
        <v>5</v>
      </c>
      <c r="J16" s="49">
        <f t="shared" ca="1" si="0"/>
        <v>17</v>
      </c>
      <c r="K16" s="32" t="str" cm="1">
        <f t="array" aca="1" ref="K16" ca="1">IFERROR(INDEX($D$7:$G$21,J16,0),"")</f>
        <v/>
      </c>
      <c r="L16" s="32"/>
      <c r="M16" s="32"/>
      <c r="N16" s="33"/>
    </row>
    <row r="17" spans="3:16" x14ac:dyDescent="0.25">
      <c r="C17" s="55">
        <v>11</v>
      </c>
      <c r="D17" s="31" t="s">
        <v>52</v>
      </c>
      <c r="E17" s="32" t="s">
        <v>31</v>
      </c>
      <c r="F17" s="32" t="s">
        <v>35</v>
      </c>
      <c r="G17" s="33">
        <v>21</v>
      </c>
      <c r="I17" s="49">
        <v>6</v>
      </c>
      <c r="J17" s="49">
        <f t="shared" ca="1" si="0"/>
        <v>18</v>
      </c>
      <c r="K17" s="32" t="str" cm="1">
        <f t="array" aca="1" ref="K17" ca="1">IFERROR(INDEX($D$7:$G$21,J17,0),"")</f>
        <v/>
      </c>
      <c r="L17" s="32"/>
      <c r="M17" s="32"/>
      <c r="N17" s="33"/>
    </row>
    <row r="18" spans="3:16" x14ac:dyDescent="0.25">
      <c r="C18" s="55">
        <v>12</v>
      </c>
      <c r="D18" s="31" t="s">
        <v>53</v>
      </c>
      <c r="E18" s="32" t="s">
        <v>31</v>
      </c>
      <c r="F18" s="32" t="s">
        <v>35</v>
      </c>
      <c r="G18" s="33">
        <v>15</v>
      </c>
      <c r="I18" s="49">
        <v>7</v>
      </c>
      <c r="J18" s="49">
        <f t="shared" ca="1" si="0"/>
        <v>19</v>
      </c>
      <c r="K18" s="32" t="str" cm="1">
        <f t="array" aca="1" ref="K18" ca="1">IFERROR(INDEX($D$7:$G$21,J18,0),"")</f>
        <v/>
      </c>
      <c r="L18" s="32"/>
      <c r="M18" s="32"/>
      <c r="N18" s="33"/>
    </row>
    <row r="19" spans="3:16" x14ac:dyDescent="0.25">
      <c r="C19" s="55">
        <v>13</v>
      </c>
      <c r="D19" s="31" t="s">
        <v>54</v>
      </c>
      <c r="E19" s="32" t="s">
        <v>32</v>
      </c>
      <c r="F19" s="32" t="s">
        <v>39</v>
      </c>
      <c r="G19" s="33">
        <v>80</v>
      </c>
      <c r="I19" s="49">
        <v>8</v>
      </c>
      <c r="J19" s="49">
        <f t="shared" ca="1" si="0"/>
        <v>20</v>
      </c>
      <c r="K19" s="32" t="str" cm="1">
        <f t="array" aca="1" ref="K19" ca="1">IFERROR(INDEX($D$7:$G$21,J19,0),"")</f>
        <v/>
      </c>
      <c r="L19" s="32"/>
      <c r="M19" s="32"/>
      <c r="N19" s="33"/>
    </row>
    <row r="20" spans="3:16" x14ac:dyDescent="0.25">
      <c r="C20" s="55">
        <v>14</v>
      </c>
      <c r="D20" s="31" t="s">
        <v>55</v>
      </c>
      <c r="E20" s="32" t="s">
        <v>32</v>
      </c>
      <c r="F20" s="32" t="s">
        <v>40</v>
      </c>
      <c r="G20" s="33">
        <v>120</v>
      </c>
      <c r="I20" s="49">
        <v>9</v>
      </c>
      <c r="J20" s="49">
        <f t="shared" ca="1" si="0"/>
        <v>21</v>
      </c>
      <c r="K20" s="32" t="str" cm="1">
        <f t="array" aca="1" ref="K20" ca="1">IFERROR(INDEX($D$7:$G$21,J20,0),"")</f>
        <v/>
      </c>
      <c r="L20" s="32"/>
      <c r="M20" s="32"/>
      <c r="N20" s="33"/>
    </row>
    <row r="21" spans="3:16" x14ac:dyDescent="0.25">
      <c r="C21" s="56">
        <v>15</v>
      </c>
      <c r="D21" s="34" t="s">
        <v>56</v>
      </c>
      <c r="E21" s="35" t="s">
        <v>32</v>
      </c>
      <c r="F21" s="35" t="s">
        <v>41</v>
      </c>
      <c r="G21" s="36">
        <v>250</v>
      </c>
      <c r="I21" s="50">
        <v>10</v>
      </c>
      <c r="J21" s="50">
        <f t="shared" ca="1" si="0"/>
        <v>22</v>
      </c>
      <c r="K21" s="35" t="str" cm="1">
        <f t="array" aca="1" ref="K21" ca="1">IFERROR(INDEX($D$7:$G$21,J21,0),"")</f>
        <v/>
      </c>
      <c r="L21" s="35"/>
      <c r="M21" s="35"/>
      <c r="N21" s="36"/>
    </row>
    <row r="23" spans="3:16" x14ac:dyDescent="0.25">
      <c r="E23" t="s">
        <v>77</v>
      </c>
      <c r="F23" t="s">
        <v>78</v>
      </c>
      <c r="G23">
        <v>1</v>
      </c>
      <c r="H23">
        <v>1</v>
      </c>
      <c r="J23" s="9" t="s">
        <v>87</v>
      </c>
      <c r="K23" s="9"/>
      <c r="L23" s="1" t="s">
        <v>2</v>
      </c>
      <c r="M23" s="1" t="s">
        <v>88</v>
      </c>
    </row>
    <row r="24" spans="3:16" x14ac:dyDescent="0.25">
      <c r="E24" t="s">
        <v>79</v>
      </c>
      <c r="F24" t="s">
        <v>78</v>
      </c>
      <c r="G24" s="65" t="s">
        <v>80</v>
      </c>
      <c r="H24">
        <v>2</v>
      </c>
    </row>
    <row r="25" spans="3:16" x14ac:dyDescent="0.25">
      <c r="E25" t="s">
        <v>81</v>
      </c>
      <c r="F25" t="s">
        <v>78</v>
      </c>
      <c r="G25" s="65" t="s">
        <v>82</v>
      </c>
      <c r="H25">
        <v>8</v>
      </c>
      <c r="J25" s="8" t="s">
        <v>89</v>
      </c>
      <c r="K25" s="8"/>
      <c r="L25" s="1" t="s">
        <v>2</v>
      </c>
      <c r="M25" s="1" t="s">
        <v>90</v>
      </c>
    </row>
    <row r="26" spans="3:16" x14ac:dyDescent="0.25">
      <c r="E26" t="s">
        <v>83</v>
      </c>
      <c r="F26" t="s">
        <v>78</v>
      </c>
      <c r="G26" s="65" t="s">
        <v>84</v>
      </c>
      <c r="H26">
        <v>9</v>
      </c>
    </row>
    <row r="27" spans="3:16" x14ac:dyDescent="0.25">
      <c r="E27" t="s">
        <v>85</v>
      </c>
      <c r="F27" t="s">
        <v>78</v>
      </c>
      <c r="G27" s="65" t="s">
        <v>86</v>
      </c>
      <c r="H27">
        <v>10</v>
      </c>
      <c r="K27" t="s">
        <v>93</v>
      </c>
      <c r="M27" t="s">
        <v>91</v>
      </c>
      <c r="P27" t="s">
        <v>92</v>
      </c>
    </row>
    <row r="29" spans="3:16" x14ac:dyDescent="0.25">
      <c r="J29" s="67" t="s">
        <v>2</v>
      </c>
      <c r="K29" s="67" t="s">
        <v>94</v>
      </c>
      <c r="L29" s="67"/>
      <c r="M29" s="67" t="s">
        <v>2</v>
      </c>
      <c r="N29" s="67" t="s">
        <v>95</v>
      </c>
    </row>
    <row r="30" spans="3:16" x14ac:dyDescent="0.25">
      <c r="C30" t="str">
        <f>"HOLA " &amp; (2 + 2) &amp; " MUNDO"</f>
        <v>HOLA 4 MUNDO</v>
      </c>
      <c r="H30" t="s">
        <v>95</v>
      </c>
      <c r="K30" t="str" cm="1">
        <f t="array" aca="1" ref="K30:K43" ca="1">INDIRECT(H30)</f>
        <v>Abarrotes</v>
      </c>
      <c r="N30" t="str" cm="1">
        <f t="array" ref="N30:N43">E8:E21</f>
        <v>Abarrotes</v>
      </c>
    </row>
    <row r="31" spans="3:16" x14ac:dyDescent="0.25">
      <c r="K31" t="str">
        <f ca="1"/>
        <v>Limpieza</v>
      </c>
      <c r="N31" t="str">
        <v>Limpieza</v>
      </c>
    </row>
    <row r="32" spans="3:16" x14ac:dyDescent="0.25">
      <c r="C32" t="str">
        <f>"E" &amp; (7 + 10) &amp; ":E21"</f>
        <v>E17:E21</v>
      </c>
      <c r="D32" t="str" cm="1">
        <f t="array" aca="1" ref="D32:D36" ca="1">INDIRECT(C32)</f>
        <v>Abarrotes</v>
      </c>
      <c r="K32" t="str">
        <f ca="1"/>
        <v>Limpieza</v>
      </c>
      <c r="N32" t="str">
        <v>Limpieza</v>
      </c>
    </row>
    <row r="33" spans="4:14" x14ac:dyDescent="0.25">
      <c r="D33" t="str">
        <f ca="1"/>
        <v>Abarrotes</v>
      </c>
      <c r="K33" t="str">
        <f ca="1"/>
        <v>Limpieza</v>
      </c>
      <c r="N33" t="str">
        <v>Limpieza</v>
      </c>
    </row>
    <row r="34" spans="4:14" x14ac:dyDescent="0.25">
      <c r="D34" t="str">
        <f ca="1"/>
        <v>Farmacia</v>
      </c>
      <c r="K34" t="str">
        <f ca="1"/>
        <v>Limpieza</v>
      </c>
      <c r="N34" t="str">
        <v>Limpieza</v>
      </c>
    </row>
    <row r="35" spans="4:14" x14ac:dyDescent="0.25">
      <c r="D35" t="str">
        <f ca="1"/>
        <v>Farmacia</v>
      </c>
      <c r="K35" t="str">
        <f ca="1"/>
        <v>Limpieza</v>
      </c>
      <c r="N35" t="str">
        <v>Limpieza</v>
      </c>
    </row>
    <row r="36" spans="4:14" x14ac:dyDescent="0.25">
      <c r="D36" t="str">
        <f ca="1"/>
        <v>Farmacia</v>
      </c>
      <c r="K36" t="str">
        <f ca="1"/>
        <v>Abarrotes</v>
      </c>
      <c r="N36" t="str">
        <v>Abarrotes</v>
      </c>
    </row>
    <row r="37" spans="4:14" x14ac:dyDescent="0.25">
      <c r="K37" t="str">
        <f ca="1"/>
        <v>Abarrotes</v>
      </c>
      <c r="N37" t="str">
        <v>Abarrotes</v>
      </c>
    </row>
    <row r="38" spans="4:14" x14ac:dyDescent="0.25">
      <c r="K38" t="str">
        <f ca="1"/>
        <v>Abarrotes</v>
      </c>
      <c r="N38" t="str">
        <v>Abarrotes</v>
      </c>
    </row>
    <row r="39" spans="4:14" x14ac:dyDescent="0.25">
      <c r="K39" t="str">
        <f ca="1"/>
        <v>Abarrotes</v>
      </c>
      <c r="N39" t="str">
        <v>Abarrotes</v>
      </c>
    </row>
    <row r="40" spans="4:14" x14ac:dyDescent="0.25">
      <c r="K40" t="str">
        <f ca="1"/>
        <v>Abarrotes</v>
      </c>
      <c r="N40" t="str">
        <v>Abarrotes</v>
      </c>
    </row>
    <row r="41" spans="4:14" x14ac:dyDescent="0.25">
      <c r="K41" t="str">
        <f ca="1"/>
        <v>Farmacia</v>
      </c>
      <c r="N41" t="str">
        <v>Farmacia</v>
      </c>
    </row>
    <row r="42" spans="4:14" x14ac:dyDescent="0.25">
      <c r="K42" t="str">
        <f ca="1"/>
        <v>Farmacia</v>
      </c>
      <c r="N42" t="str">
        <v>Farmacia</v>
      </c>
    </row>
    <row r="43" spans="4:14" x14ac:dyDescent="0.25">
      <c r="K43" t="str">
        <f ca="1"/>
        <v>Farmacia</v>
      </c>
      <c r="N43" t="str">
        <v>Farmacia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Fórmulas</vt:lpstr>
      <vt:lpstr>Ejemplo 1</vt:lpstr>
      <vt:lpstr>Índice</vt:lpstr>
      <vt:lpstr>Coincidir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 Badillo Salas</dc:creator>
  <cp:lastModifiedBy>Alan Badillo Salas</cp:lastModifiedBy>
  <dcterms:created xsi:type="dcterms:W3CDTF">2026-07-07T23:08:36Z</dcterms:created>
  <dcterms:modified xsi:type="dcterms:W3CDTF">2026-07-08T01:00:04Z</dcterms:modified>
</cp:coreProperties>
</file>